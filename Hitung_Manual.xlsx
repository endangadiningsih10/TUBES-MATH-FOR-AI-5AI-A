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c211df66741d95/Tài liệu/SEMESTER 5/Math For AI/"/>
    </mc:Choice>
  </mc:AlternateContent>
  <xr:revisionPtr revIDLastSave="280" documentId="13_ncr:1_{5D8BBCCE-A309-47F8-83D7-63F9B6BBFE3E}" xr6:coauthVersionLast="47" xr6:coauthVersionMax="47" xr10:uidLastSave="{D40AB74E-5E14-46F5-89EA-27A2BBFA0DA9}"/>
  <bookViews>
    <workbookView xWindow="-110" yWindow="-110" windowWidth="19420" windowHeight="10300" activeTab="1" xr2:uid="{57DA9AF8-0B39-4BB7-863E-FFAF27CADCA3}"/>
  </bookViews>
  <sheets>
    <sheet name="Dataset" sheetId="6" r:id="rId1"/>
    <sheet name="ModelParameter" sheetId="1" r:id="rId2"/>
    <sheet name="UpdateBobot" sheetId="7" r:id="rId3"/>
    <sheet name="GrafikLoss" sheetId="12" r:id="rId4"/>
    <sheet name="Iterasi1" sheetId="5" r:id="rId5"/>
    <sheet name="Iterasi2" sheetId="2" r:id="rId6"/>
    <sheet name="Iterasi3" sheetId="9" r:id="rId7"/>
    <sheet name="Iterasi4" sheetId="11" r:id="rId8"/>
    <sheet name="Iterasi5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E7" i="7"/>
  <c r="D7" i="7"/>
  <c r="C7" i="7"/>
  <c r="B7" i="7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2" i="10"/>
  <c r="E6" i="7"/>
  <c r="D6" i="7"/>
  <c r="C6" i="7"/>
  <c r="B6" i="7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2" i="11"/>
  <c r="E5" i="7"/>
  <c r="D5" i="7"/>
  <c r="C5" i="7"/>
  <c r="B5" i="7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2" i="9"/>
  <c r="E4" i="7"/>
  <c r="D4" i="7"/>
  <c r="C4" i="7"/>
  <c r="B4" i="7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E3" i="7"/>
  <c r="D3" i="7"/>
  <c r="C3" i="7"/>
  <c r="B3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" i="5"/>
</calcChain>
</file>

<file path=xl/sharedStrings.xml><?xml version="1.0" encoding="utf-8"?>
<sst xmlns="http://schemas.openxmlformats.org/spreadsheetml/2006/main" count="93" uniqueCount="25">
  <si>
    <t>x1</t>
  </si>
  <si>
    <t>x2</t>
  </si>
  <si>
    <t>y</t>
  </si>
  <si>
    <t>f(x)</t>
  </si>
  <si>
    <t>y.f(x)</t>
  </si>
  <si>
    <t>Loss</t>
  </si>
  <si>
    <t>grad_w1</t>
  </si>
  <si>
    <t>grad_w2</t>
  </si>
  <si>
    <t>grad_b</t>
  </si>
  <si>
    <t>Parameter</t>
  </si>
  <si>
    <t>Nilai</t>
  </si>
  <si>
    <t>w1</t>
  </si>
  <si>
    <t>w2</t>
  </si>
  <si>
    <t>b</t>
  </si>
  <si>
    <t>learning_rate (η)</t>
  </si>
  <si>
    <t>lambda (λ)</t>
  </si>
  <si>
    <t>iterasi ke</t>
  </si>
  <si>
    <t>w1_baru</t>
  </si>
  <si>
    <t>w2_baru</t>
  </si>
  <si>
    <t>b_baru</t>
  </si>
  <si>
    <t>iterasi</t>
  </si>
  <si>
    <t>Total Loss</t>
  </si>
  <si>
    <t>nilai_kehadiran</t>
  </si>
  <si>
    <t>nilai_ujian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</si>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</sst>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9" xfId="0" applyFill="1" applyBorder="1" applyAlignment="1">
      <alignment horizontal="center"/>
    </xf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3" borderId="0" xfId="0" applyFont="1" applyFill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7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/>
    <xf numFmtId="0" fontId="4" fillId="4" borderId="2" xfId="0" applyFont="1" applyFill="1" applyBorder="1"/>
    <xf numFmtId="0" fontId="2" fillId="5" borderId="9" xfId="0" applyFont="1" applyFill="1" applyBorder="1" applyAlignment="1">
      <alignment horizontal="center"/>
    </xf>
    <xf numFmtId="0" fontId="0" fillId="5" borderId="0" xfId="0" applyFill="1"/>
    <xf numFmtId="0" fontId="5" fillId="6" borderId="9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4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effectLst>
                  <a:outerShdw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  <a:effectLst>
                  <a:outerShdw dist="50800" dir="5400000" sx="1000" sy="1000" algn="ctr" rotWithShape="0">
                    <a:srgbClr val="000000">
                      <a:alpha val="43137"/>
                    </a:srgbClr>
                  </a:outerShdw>
                </a:effectLst>
              </a:rPr>
              <a:t>Perubahan Total Loss Terhadap Iterasi</a:t>
            </a:r>
            <a:endParaRPr lang="en-US" b="1">
              <a:solidFill>
                <a:schemeClr val="accent1">
                  <a:lumMod val="75000"/>
                </a:schemeClr>
              </a:solidFill>
              <a:effectLst>
                <a:outerShdw dist="50800" dir="5400000" sx="1000" sy="1000" algn="ctr" rotWithShape="0">
                  <a:srgbClr val="000000">
                    <a:alpha val="43137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0.24826601796158515"/>
          <c:y val="5.1054210141655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effectLst>
                <a:outerShdw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14260717410341E-2"/>
          <c:y val="0.17171296296296298"/>
          <c:w val="0.89019685039370078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UpdateBobot!$A$1</c:f>
              <c:strCache>
                <c:ptCount val="1"/>
                <c:pt idx="0">
                  <c:v>iterasi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UpdateBobot!$A$2:$A$7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1-491E-9121-65C1B3D11198}"/>
            </c:ext>
          </c:extLst>
        </c:ser>
        <c:ser>
          <c:idx val="1"/>
          <c:order val="1"/>
          <c:tx>
            <c:strRef>
              <c:f>UpdateBobot!$B$1</c:f>
              <c:strCache>
                <c:ptCount val="1"/>
                <c:pt idx="0">
                  <c:v>w1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UpdateBobot!$B$2:$B$7</c:f>
              <c:numCache>
                <c:formatCode>General</c:formatCode>
                <c:ptCount val="6"/>
                <c:pt idx="0">
                  <c:v>0</c:v>
                </c:pt>
                <c:pt idx="1">
                  <c:v>7.0300000000000001E-2</c:v>
                </c:pt>
                <c:pt idx="2">
                  <c:v>-6.8400000000000016E-2</c:v>
                </c:pt>
                <c:pt idx="3">
                  <c:v>0.1406</c:v>
                </c:pt>
                <c:pt idx="4">
                  <c:v>1.899999999999985E-3</c:v>
                </c:pt>
                <c:pt idx="5">
                  <c:v>7.2199999999999986E-2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1-491E-9121-65C1B3D11198}"/>
            </c:ext>
          </c:extLst>
        </c:ser>
        <c:ser>
          <c:idx val="2"/>
          <c:order val="2"/>
          <c:tx>
            <c:strRef>
              <c:f>UpdateBobot!$C$1</c:f>
              <c:strCache>
                <c:ptCount val="1"/>
                <c:pt idx="0">
                  <c:v>w2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UpdateBobot!$C$2:$C$7</c:f>
              <c:numCache>
                <c:formatCode>General</c:formatCode>
                <c:ptCount val="6"/>
                <c:pt idx="0">
                  <c:v>0</c:v>
                </c:pt>
                <c:pt idx="1">
                  <c:v>6.8699999999999997E-2</c:v>
                </c:pt>
                <c:pt idx="2">
                  <c:v>-7.5999999999999998E-2</c:v>
                </c:pt>
                <c:pt idx="3">
                  <c:v>0.13740000000000002</c:v>
                </c:pt>
                <c:pt idx="4">
                  <c:v>-7.2999999999999732E-3</c:v>
                </c:pt>
                <c:pt idx="5">
                  <c:v>6.1400000000000024E-2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1-491E-9121-65C1B3D11198}"/>
            </c:ext>
          </c:extLst>
        </c:ser>
        <c:ser>
          <c:idx val="3"/>
          <c:order val="3"/>
          <c:tx>
            <c:strRef>
              <c:f>UpdateBobot!$D$1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UpdateBobot!$D$2:$D$7</c:f>
              <c:numCache>
                <c:formatCode>General</c:formatCode>
                <c:ptCount val="6"/>
                <c:pt idx="0">
                  <c:v>0</c:v>
                </c:pt>
                <c:pt idx="1">
                  <c:v>2.0000000000000001E-4</c:v>
                </c:pt>
                <c:pt idx="2">
                  <c:v>2.6000000000000003E-3</c:v>
                </c:pt>
                <c:pt idx="3">
                  <c:v>0</c:v>
                </c:pt>
                <c:pt idx="4">
                  <c:v>2.4000000000000002E-3</c:v>
                </c:pt>
                <c:pt idx="5">
                  <c:v>2.2000000000000001E-3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A1-491E-9121-65C1B3D11198}"/>
            </c:ext>
          </c:extLst>
        </c:ser>
        <c:ser>
          <c:idx val="4"/>
          <c:order val="4"/>
          <c:tx>
            <c:strRef>
              <c:f>UpdateBobot!$E$1</c:f>
              <c:strCache>
                <c:ptCount val="1"/>
                <c:pt idx="0">
                  <c:v>Total 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UpdateBobot!$E$2:$E$7</c:f>
              <c:numCache>
                <c:formatCode>General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220.91979999999995</c:v>
                </c:pt>
                <c:pt idx="3">
                  <c:v>331.07240000000002</c:v>
                </c:pt>
                <c:pt idx="4">
                  <c:v>417.8300000000001</c:v>
                </c:pt>
                <c:pt idx="5">
                  <c:v>53.674599999999998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1-491E-9121-65C1B3D11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730464"/>
        <c:axId val="506725184"/>
      </c:lineChart>
      <c:catAx>
        <c:axId val="50673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5184"/>
        <c:crosses val="autoZero"/>
        <c:auto val="1"/>
        <c:lblAlgn val="ctr"/>
        <c:lblOffset val="100"/>
        <c:noMultiLvlLbl val="0"/>
      </c:catAx>
      <c:valAx>
        <c:axId val="5067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615950</xdr:colOff>
      <xdr:row>7</xdr:row>
      <xdr:rowOff>110129</xdr:rowOff>
    </xdr:from>
    <xdr:to>
      <xdr:col>12</xdr:col>
      <xdr:colOff>1414825</xdr:colOff>
      <xdr:row>11</xdr:row>
      <xdr:rowOff>100592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4586FB-0814-41C9-B2FC-5B675FDA1EC3}"/>
            </a:ext>
          </a:extLst>
        </xdr:cNvPr>
        <xdr:cNvSpPr/>
      </xdr:nvSpPr>
      <xdr:spPr>
        <a:xfrm>
          <a:off x="5328318" y="1758901"/>
          <a:ext cx="6023700" cy="7480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Bobot awal dan bias diinisialisasi dengan nilai nol.</a:t>
          </a:r>
          <a:r>
            <a:rPr lang="en-US" sz="1400" b="1" baseline="0"/>
            <a:t> </a:t>
          </a:r>
          <a:r>
            <a:rPr lang="en-US" sz="1400" b="1"/>
            <a:t>Parameter ini akan diperbarui pada setiap iterasi berdasarkan gradien loss.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275919</xdr:colOff>
      <xdr:row>1</xdr:row>
      <xdr:rowOff>146459</xdr:rowOff>
    </xdr:from>
    <xdr:to>
      <xdr:col>8</xdr:col>
      <xdr:colOff>235529</xdr:colOff>
      <xdr:row>4</xdr:row>
      <xdr:rowOff>56892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81614-4909-1235-09BD-E15CCF70E379}"/>
            </a:ext>
          </a:extLst>
        </xdr:cNvPr>
        <xdr:cNvSpPr/>
      </xdr:nvSpPr>
      <xdr:spPr>
        <a:xfrm>
          <a:off x="4138213" y="340694"/>
          <a:ext cx="1797375" cy="49313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tx1"/>
              </a:solidFill>
            </a:rPr>
            <a:t>Rumus Update Bobot:</a:t>
          </a:r>
        </a:p>
        <a:p>
          <a:pPr algn="ctr"/>
          <a:r>
            <a:rPr lang="en-US" sz="1200">
              <a:solidFill>
                <a:schemeClr val="tx1"/>
              </a:solidFill>
            </a:rPr>
            <a:t>wbaru​=wlama​−</a:t>
          </a:r>
          <a:r>
            <a:rPr lang="el-GR" sz="1200">
              <a:solidFill>
                <a:schemeClr val="tx1"/>
              </a:solidFill>
            </a:rPr>
            <a:t>η⋅∇</a:t>
          </a:r>
          <a:r>
            <a:rPr lang="en-US" sz="1200">
              <a:solidFill>
                <a:schemeClr val="tx1"/>
              </a:solidFill>
            </a:rPr>
            <a:t>L</a:t>
          </a:r>
        </a:p>
      </xdr:txBody>
    </xdr:sp>
    <xdr:clientData/>
  </xdr:twoCellAnchor>
  <xdr:twoCellAnchor>
    <xdr:from>
      <xdr:col>0</xdr:col>
      <xdr:colOff>34888</xdr:colOff>
      <xdr:row>7</xdr:row>
      <xdr:rowOff>97693</xdr:rowOff>
    </xdr:from>
    <xdr:to>
      <xdr:col>6</xdr:col>
      <xdr:colOff>27912</xdr:colOff>
      <xdr:row>11</xdr:row>
      <xdr:rowOff>97692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35B0D2-9DD0-0F0F-BA3A-1AA366276F1E}"/>
            </a:ext>
          </a:extLst>
        </xdr:cNvPr>
        <xdr:cNvSpPr/>
      </xdr:nvSpPr>
      <xdr:spPr>
        <a:xfrm>
          <a:off x="34888" y="1465385"/>
          <a:ext cx="4451980" cy="72571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Sheet ini mencatat hasil pembaruan bobot pada setiap iterasi sebagai ringkasan proses optimasi.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606330</xdr:colOff>
      <xdr:row>0</xdr:row>
      <xdr:rowOff>171953</xdr:rowOff>
    </xdr:from>
    <xdr:to>
      <xdr:col>9</xdr:col>
      <xdr:colOff>348649</xdr:colOff>
      <xdr:row>15</xdr:row>
      <xdr:rowOff>184653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0561A-BD57-4657-9F14-2DAFF2237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8247</xdr:colOff>
      <xdr:row>3</xdr:row>
      <xdr:rowOff>16493</xdr:rowOff>
    </xdr:from>
    <xdr:to>
      <xdr:col>16</xdr:col>
      <xdr:colOff>429173</xdr:colOff>
      <xdr:row>6</xdr:row>
      <xdr:rowOff>170165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E76F61-D20D-46EB-9282-75B3CA8CD9D8}"/>
            </a:ext>
          </a:extLst>
        </xdr:cNvPr>
        <xdr:cNvSpPr/>
      </xdr:nvSpPr>
      <xdr:spPr>
        <a:xfrm>
          <a:off x="6110844" y="560779"/>
          <a:ext cx="4082485" cy="69795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Total Loss</a:t>
          </a:r>
          <a:r>
            <a:rPr lang="en-US" sz="1200" b="1" baseline="0">
              <a:solidFill>
                <a:schemeClr val="tx1"/>
              </a:solidFill>
            </a:rPr>
            <a:t> = 50 </a:t>
          </a:r>
        </a:p>
        <a:p>
          <a:pPr algn="l"/>
          <a:r>
            <a:rPr lang="en-US" sz="1200" b="1">
              <a:solidFill>
                <a:schemeClr val="tx1"/>
              </a:solidFill>
            </a:rPr>
            <a:t>Karena total loss masih lebih besar dari nol, maka bobot diperbarui menggunakan metode gradient descent.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154878</xdr:rowOff>
    </xdr:from>
    <xdr:to>
      <xdr:col>16</xdr:col>
      <xdr:colOff>411875</xdr:colOff>
      <xdr:row>7</xdr:row>
      <xdr:rowOff>109420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D5741C-0E89-4E7C-A83D-2DE6B6AD99AC}"/>
            </a:ext>
          </a:extLst>
        </xdr:cNvPr>
        <xdr:cNvSpPr/>
      </xdr:nvSpPr>
      <xdr:spPr>
        <a:xfrm>
          <a:off x="6117683" y="712439"/>
          <a:ext cx="4082485" cy="69795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Total Loss</a:t>
          </a:r>
          <a:r>
            <a:rPr lang="en-US" sz="1200" b="1" baseline="0">
              <a:solidFill>
                <a:schemeClr val="tx1"/>
              </a:solidFill>
            </a:rPr>
            <a:t> = 220,9198</a:t>
          </a:r>
        </a:p>
        <a:p>
          <a:pPr algn="l"/>
          <a:r>
            <a:rPr lang="en-US" sz="1200" b="1">
              <a:solidFill>
                <a:schemeClr val="tx1"/>
              </a:solidFill>
            </a:rPr>
            <a:t>Karena total loss masih lebih besar dari nol, maka bobot diperbarui menggunakan metode gradient descent.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594810</xdr:colOff>
      <xdr:row>3</xdr:row>
      <xdr:rowOff>152722</xdr:rowOff>
    </xdr:from>
    <xdr:to>
      <xdr:col>16</xdr:col>
      <xdr:colOff>401093</xdr:colOff>
      <xdr:row>7</xdr:row>
      <xdr:rowOff>111185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F8542D-5D2A-458F-B239-15ED657D7493}"/>
            </a:ext>
          </a:extLst>
        </xdr:cNvPr>
        <xdr:cNvSpPr/>
      </xdr:nvSpPr>
      <xdr:spPr>
        <a:xfrm>
          <a:off x="6092785" y="707342"/>
          <a:ext cx="4082485" cy="69795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Total Loss</a:t>
          </a:r>
          <a:r>
            <a:rPr lang="en-US" sz="1200" b="1" baseline="0">
              <a:solidFill>
                <a:schemeClr val="tx1"/>
              </a:solidFill>
            </a:rPr>
            <a:t> = 331,0724</a:t>
          </a:r>
        </a:p>
        <a:p>
          <a:pPr algn="l"/>
          <a:r>
            <a:rPr lang="en-US" sz="1200" b="1">
              <a:solidFill>
                <a:schemeClr val="tx1"/>
              </a:solidFill>
            </a:rPr>
            <a:t>Karena total loss masih lebih besar dari nol, maka bobot diperbarui menggunakan metode gradient descent.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603249</xdr:colOff>
      <xdr:row>2</xdr:row>
      <xdr:rowOff>174625</xdr:rowOff>
    </xdr:from>
    <xdr:to>
      <xdr:col>16</xdr:col>
      <xdr:colOff>407422</xdr:colOff>
      <xdr:row>6</xdr:row>
      <xdr:rowOff>142332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19924E-5F2F-40BA-BDD3-838EEA22A748}"/>
            </a:ext>
          </a:extLst>
        </xdr:cNvPr>
        <xdr:cNvSpPr/>
      </xdr:nvSpPr>
      <xdr:spPr>
        <a:xfrm>
          <a:off x="6103937" y="539750"/>
          <a:ext cx="4082485" cy="69795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Total Loss</a:t>
          </a:r>
          <a:r>
            <a:rPr lang="en-US" sz="1200" b="1" baseline="0">
              <a:solidFill>
                <a:schemeClr val="tx1"/>
              </a:solidFill>
            </a:rPr>
            <a:t> = 417,83</a:t>
          </a:r>
        </a:p>
        <a:p>
          <a:pPr algn="l"/>
          <a:r>
            <a:rPr lang="en-US" sz="1200" b="1">
              <a:solidFill>
                <a:schemeClr val="tx1"/>
              </a:solidFill>
            </a:rPr>
            <a:t>Karena total loss masih lebih besar dari nol, maka bobot diperbarui menggunakan metode gradient descent.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605465</xdr:colOff>
      <xdr:row>5</xdr:row>
      <xdr:rowOff>75463</xdr:rowOff>
    </xdr:from>
    <xdr:to>
      <xdr:col>16</xdr:col>
      <xdr:colOff>430767</xdr:colOff>
      <xdr:row>9</xdr:row>
      <xdr:rowOff>22153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6C50D3-22C0-7AA2-F47E-2026FE1B44B2}"/>
            </a:ext>
          </a:extLst>
        </xdr:cNvPr>
        <xdr:cNvSpPr/>
      </xdr:nvSpPr>
      <xdr:spPr>
        <a:xfrm>
          <a:off x="6121105" y="998428"/>
          <a:ext cx="4115243" cy="68506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Total Loss</a:t>
          </a:r>
          <a:r>
            <a:rPr lang="en-US" sz="1200" b="1" baseline="0">
              <a:solidFill>
                <a:schemeClr val="tx1"/>
              </a:solidFill>
            </a:rPr>
            <a:t> = 53,6746</a:t>
          </a:r>
        </a:p>
        <a:p>
          <a:pPr algn="l"/>
          <a:r>
            <a:rPr lang="en-US" sz="1200" b="1">
              <a:solidFill>
                <a:schemeClr val="tx1"/>
              </a:solidFill>
            </a:rPr>
            <a:t>Karena total loss masih lebih besar dari nol, maka bobot diperbarui menggunakan metode gradient descent.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E19B-0922-483B-902D-3CEFC325E55C}">
  <dimension ref="A1:C51"/>
  <sheetViews>
    <sheetView topLeftCell="A28" zoomScale="67" workbookViewId="0">
      <selection activeCell="H46" sqref="H46"/>
    </sheetView>
  </sheetViews>
  <sheetFormatPr defaultRowHeight="14.5" x14ac:dyDescent="0.35"/>
  <cols>
    <col min="1" max="1" width="20.26953125" style="1" customWidth="1"/>
    <col min="2" max="2" width="19.90625" style="1" customWidth="1"/>
    <col min="3" max="3" width="8.7265625" style="1"/>
  </cols>
  <sheetData>
    <row r="1" spans="1:3" x14ac:dyDescent="0.35">
      <c r="A1" s="28" t="s">
        <v>22</v>
      </c>
      <c r="B1" s="28" t="s">
        <v>23</v>
      </c>
      <c r="C1" s="28" t="s">
        <v>24</v>
      </c>
    </row>
    <row r="2" spans="1:3" x14ac:dyDescent="0.35">
      <c r="A2" s="21">
        <v>85</v>
      </c>
      <c r="B2" s="21">
        <v>88</v>
      </c>
      <c r="C2" s="21">
        <v>1</v>
      </c>
    </row>
    <row r="3" spans="1:3" x14ac:dyDescent="0.35">
      <c r="A3" s="21">
        <v>78</v>
      </c>
      <c r="B3" s="21">
        <v>82</v>
      </c>
      <c r="C3" s="21">
        <v>1</v>
      </c>
    </row>
    <row r="4" spans="1:3" x14ac:dyDescent="0.35">
      <c r="A4" s="21">
        <v>90</v>
      </c>
      <c r="B4" s="21">
        <v>91</v>
      </c>
      <c r="C4" s="21">
        <v>1</v>
      </c>
    </row>
    <row r="5" spans="1:3" x14ac:dyDescent="0.35">
      <c r="A5" s="21">
        <v>70</v>
      </c>
      <c r="B5" s="21">
        <v>75</v>
      </c>
      <c r="C5" s="21">
        <v>1</v>
      </c>
    </row>
    <row r="6" spans="1:3" x14ac:dyDescent="0.35">
      <c r="A6" s="21">
        <v>88</v>
      </c>
      <c r="B6" s="21">
        <v>84</v>
      </c>
      <c r="C6" s="21">
        <v>1</v>
      </c>
    </row>
    <row r="7" spans="1:3" x14ac:dyDescent="0.35">
      <c r="A7" s="21">
        <v>92</v>
      </c>
      <c r="B7" s="21">
        <v>89</v>
      </c>
      <c r="C7" s="21">
        <v>1</v>
      </c>
    </row>
    <row r="8" spans="1:3" x14ac:dyDescent="0.35">
      <c r="A8" s="21">
        <v>76</v>
      </c>
      <c r="B8" s="21">
        <v>80</v>
      </c>
      <c r="C8" s="21">
        <v>1</v>
      </c>
    </row>
    <row r="9" spans="1:3" x14ac:dyDescent="0.35">
      <c r="A9" s="21">
        <v>83</v>
      </c>
      <c r="B9" s="21">
        <v>79</v>
      </c>
      <c r="C9" s="21">
        <v>1</v>
      </c>
    </row>
    <row r="10" spans="1:3" x14ac:dyDescent="0.35">
      <c r="A10" s="21">
        <v>87</v>
      </c>
      <c r="B10" s="21">
        <v>90</v>
      </c>
      <c r="C10" s="21">
        <v>1</v>
      </c>
    </row>
    <row r="11" spans="1:3" x14ac:dyDescent="0.35">
      <c r="A11" s="21">
        <v>80</v>
      </c>
      <c r="B11" s="21">
        <v>85</v>
      </c>
      <c r="C11" s="21">
        <v>1</v>
      </c>
    </row>
    <row r="12" spans="1:3" x14ac:dyDescent="0.35">
      <c r="A12" s="21">
        <v>74</v>
      </c>
      <c r="B12" s="21">
        <v>78</v>
      </c>
      <c r="C12" s="21">
        <v>1</v>
      </c>
    </row>
    <row r="13" spans="1:3" x14ac:dyDescent="0.35">
      <c r="A13" s="21">
        <v>89</v>
      </c>
      <c r="B13" s="21">
        <v>86</v>
      </c>
      <c r="C13" s="21">
        <v>1</v>
      </c>
    </row>
    <row r="14" spans="1:3" x14ac:dyDescent="0.35">
      <c r="A14" s="21">
        <v>81</v>
      </c>
      <c r="B14" s="21">
        <v>83</v>
      </c>
      <c r="C14" s="21">
        <v>1</v>
      </c>
    </row>
    <row r="15" spans="1:3" x14ac:dyDescent="0.35">
      <c r="A15" s="21">
        <v>77</v>
      </c>
      <c r="B15" s="21">
        <v>76</v>
      </c>
      <c r="C15" s="21">
        <v>1</v>
      </c>
    </row>
    <row r="16" spans="1:3" x14ac:dyDescent="0.35">
      <c r="A16" s="21">
        <v>84</v>
      </c>
      <c r="B16" s="21">
        <v>88</v>
      </c>
      <c r="C16" s="21">
        <v>1</v>
      </c>
    </row>
    <row r="17" spans="1:3" x14ac:dyDescent="0.35">
      <c r="A17" s="21">
        <v>65</v>
      </c>
      <c r="B17" s="21">
        <v>70</v>
      </c>
      <c r="C17" s="21">
        <v>-1</v>
      </c>
    </row>
    <row r="18" spans="1:3" x14ac:dyDescent="0.35">
      <c r="A18" s="21">
        <v>60</v>
      </c>
      <c r="B18" s="21">
        <v>68</v>
      </c>
      <c r="C18" s="21">
        <v>-1</v>
      </c>
    </row>
    <row r="19" spans="1:3" x14ac:dyDescent="0.35">
      <c r="A19" s="21">
        <v>55</v>
      </c>
      <c r="B19" s="21">
        <v>62</v>
      </c>
      <c r="C19" s="21">
        <v>-1</v>
      </c>
    </row>
    <row r="20" spans="1:3" x14ac:dyDescent="0.35">
      <c r="A20" s="21">
        <v>72</v>
      </c>
      <c r="B20" s="21">
        <v>65</v>
      </c>
      <c r="C20" s="21">
        <v>-1</v>
      </c>
    </row>
    <row r="21" spans="1:3" x14ac:dyDescent="0.35">
      <c r="A21" s="21">
        <v>58</v>
      </c>
      <c r="B21" s="21">
        <v>60</v>
      </c>
      <c r="C21" s="21">
        <v>-1</v>
      </c>
    </row>
    <row r="22" spans="1:3" x14ac:dyDescent="0.35">
      <c r="A22" s="21">
        <v>62</v>
      </c>
      <c r="B22" s="21">
        <v>66</v>
      </c>
      <c r="C22" s="21">
        <v>-1</v>
      </c>
    </row>
    <row r="23" spans="1:3" x14ac:dyDescent="0.35">
      <c r="A23" s="21">
        <v>67</v>
      </c>
      <c r="B23" s="21">
        <v>69</v>
      </c>
      <c r="C23" s="21">
        <v>-1</v>
      </c>
    </row>
    <row r="24" spans="1:3" x14ac:dyDescent="0.35">
      <c r="A24" s="21">
        <v>50</v>
      </c>
      <c r="B24" s="21">
        <v>55</v>
      </c>
      <c r="C24" s="21">
        <v>-1</v>
      </c>
    </row>
    <row r="25" spans="1:3" x14ac:dyDescent="0.35">
      <c r="A25" s="21">
        <v>45</v>
      </c>
      <c r="B25" s="21">
        <v>52</v>
      </c>
      <c r="C25" s="21">
        <v>-1</v>
      </c>
    </row>
    <row r="26" spans="1:3" x14ac:dyDescent="0.35">
      <c r="A26" s="21">
        <v>59</v>
      </c>
      <c r="B26" s="21">
        <v>63</v>
      </c>
      <c r="C26" s="21">
        <v>-1</v>
      </c>
    </row>
    <row r="27" spans="1:3" x14ac:dyDescent="0.35">
      <c r="A27" s="21">
        <v>64</v>
      </c>
      <c r="B27" s="21">
        <v>67</v>
      </c>
      <c r="C27" s="21">
        <v>-1</v>
      </c>
    </row>
    <row r="28" spans="1:3" x14ac:dyDescent="0.35">
      <c r="A28" s="21">
        <v>68</v>
      </c>
      <c r="B28" s="21">
        <v>64</v>
      </c>
      <c r="C28" s="21">
        <v>-1</v>
      </c>
    </row>
    <row r="29" spans="1:3" x14ac:dyDescent="0.35">
      <c r="A29" s="21">
        <v>57</v>
      </c>
      <c r="B29" s="21">
        <v>59</v>
      </c>
      <c r="C29" s="21">
        <v>-1</v>
      </c>
    </row>
    <row r="30" spans="1:3" x14ac:dyDescent="0.35">
      <c r="A30" s="21">
        <v>61</v>
      </c>
      <c r="B30" s="21">
        <v>65</v>
      </c>
      <c r="C30" s="21">
        <v>-1</v>
      </c>
    </row>
    <row r="31" spans="1:3" x14ac:dyDescent="0.35">
      <c r="A31" s="21">
        <v>53</v>
      </c>
      <c r="B31" s="21">
        <v>58</v>
      </c>
      <c r="C31" s="21">
        <v>-1</v>
      </c>
    </row>
    <row r="32" spans="1:3" x14ac:dyDescent="0.35">
      <c r="A32" s="21">
        <v>82</v>
      </c>
      <c r="B32" s="21">
        <v>87</v>
      </c>
      <c r="C32" s="21">
        <v>1</v>
      </c>
    </row>
    <row r="33" spans="1:3" x14ac:dyDescent="0.35">
      <c r="A33" s="21">
        <v>79</v>
      </c>
      <c r="B33" s="21">
        <v>81</v>
      </c>
      <c r="C33" s="21">
        <v>1</v>
      </c>
    </row>
    <row r="34" spans="1:3" x14ac:dyDescent="0.35">
      <c r="A34" s="21">
        <v>86</v>
      </c>
      <c r="B34" s="21">
        <v>90</v>
      </c>
      <c r="C34" s="21">
        <v>1</v>
      </c>
    </row>
    <row r="35" spans="1:3" x14ac:dyDescent="0.35">
      <c r="A35" s="21">
        <v>73</v>
      </c>
      <c r="B35" s="21">
        <v>77</v>
      </c>
      <c r="C35" s="21">
        <v>1</v>
      </c>
    </row>
    <row r="36" spans="1:3" x14ac:dyDescent="0.35">
      <c r="A36" s="21">
        <v>75</v>
      </c>
      <c r="B36" s="21">
        <v>79</v>
      </c>
      <c r="C36" s="21">
        <v>1</v>
      </c>
    </row>
    <row r="37" spans="1:3" x14ac:dyDescent="0.35">
      <c r="A37" s="21">
        <v>48</v>
      </c>
      <c r="B37" s="21">
        <v>50</v>
      </c>
      <c r="C37" s="21">
        <v>-1</v>
      </c>
    </row>
    <row r="38" spans="1:3" x14ac:dyDescent="0.35">
      <c r="A38" s="21">
        <v>52</v>
      </c>
      <c r="B38" s="21">
        <v>54</v>
      </c>
      <c r="C38" s="21">
        <v>-1</v>
      </c>
    </row>
    <row r="39" spans="1:3" x14ac:dyDescent="0.35">
      <c r="A39" s="21">
        <v>56</v>
      </c>
      <c r="B39" s="21">
        <v>57</v>
      </c>
      <c r="C39" s="21">
        <v>-1</v>
      </c>
    </row>
    <row r="40" spans="1:3" x14ac:dyDescent="0.35">
      <c r="A40" s="21">
        <v>63</v>
      </c>
      <c r="B40" s="21">
        <v>60</v>
      </c>
      <c r="C40" s="21">
        <v>-1</v>
      </c>
    </row>
    <row r="41" spans="1:3" x14ac:dyDescent="0.35">
      <c r="A41" s="21">
        <v>66</v>
      </c>
      <c r="B41" s="21">
        <v>68</v>
      </c>
      <c r="C41" s="21">
        <v>1</v>
      </c>
    </row>
    <row r="42" spans="1:3" x14ac:dyDescent="0.35">
      <c r="A42" s="21">
        <v>69</v>
      </c>
      <c r="B42" s="21">
        <v>71</v>
      </c>
      <c r="C42" s="21">
        <v>1</v>
      </c>
    </row>
    <row r="43" spans="1:3" x14ac:dyDescent="0.35">
      <c r="A43" s="21">
        <v>71</v>
      </c>
      <c r="B43" s="21">
        <v>74</v>
      </c>
      <c r="C43" s="21">
        <v>1</v>
      </c>
    </row>
    <row r="44" spans="1:3" x14ac:dyDescent="0.35">
      <c r="A44" s="21">
        <v>54</v>
      </c>
      <c r="B44" s="21">
        <v>56</v>
      </c>
      <c r="C44" s="21">
        <v>-1</v>
      </c>
    </row>
    <row r="45" spans="1:3" x14ac:dyDescent="0.35">
      <c r="A45" s="21">
        <v>47</v>
      </c>
      <c r="B45" s="21">
        <v>49</v>
      </c>
      <c r="C45" s="21">
        <v>-1</v>
      </c>
    </row>
    <row r="46" spans="1:3" x14ac:dyDescent="0.35">
      <c r="A46" s="21">
        <v>51</v>
      </c>
      <c r="B46" s="21">
        <v>53</v>
      </c>
      <c r="C46" s="21">
        <v>-1</v>
      </c>
    </row>
    <row r="47" spans="1:3" x14ac:dyDescent="0.35">
      <c r="A47" s="21">
        <v>80</v>
      </c>
      <c r="B47" s="21">
        <v>78</v>
      </c>
      <c r="C47" s="21">
        <v>1</v>
      </c>
    </row>
    <row r="48" spans="1:3" x14ac:dyDescent="0.35">
      <c r="A48" s="21">
        <v>85</v>
      </c>
      <c r="B48" s="21">
        <v>83</v>
      </c>
      <c r="C48" s="21">
        <v>1</v>
      </c>
    </row>
    <row r="49" spans="1:3" x14ac:dyDescent="0.35">
      <c r="A49" s="21">
        <v>58</v>
      </c>
      <c r="B49" s="21">
        <v>61</v>
      </c>
      <c r="C49" s="21">
        <v>-1</v>
      </c>
    </row>
    <row r="50" spans="1:3" x14ac:dyDescent="0.35">
      <c r="A50" s="21">
        <v>62</v>
      </c>
      <c r="B50" s="21">
        <v>64</v>
      </c>
      <c r="C50" s="21">
        <v>-1</v>
      </c>
    </row>
    <row r="51" spans="1:3" x14ac:dyDescent="0.35">
      <c r="A51" s="21">
        <v>90</v>
      </c>
      <c r="B51" s="21">
        <v>92</v>
      </c>
      <c r="C51" s="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CA5B-A57C-42BE-9675-207773051A6D}">
  <dimension ref="A1:S11"/>
  <sheetViews>
    <sheetView tabSelected="1" zoomScale="68" workbookViewId="0">
      <selection sqref="A1:S11"/>
    </sheetView>
  </sheetViews>
  <sheetFormatPr defaultRowHeight="14.5" x14ac:dyDescent="0.35"/>
  <cols>
    <col min="1" max="1" width="21.08984375" customWidth="1"/>
    <col min="5" max="5" width="20.08984375" customWidth="1"/>
    <col min="6" max="6" width="10.54296875" customWidth="1"/>
    <col min="9" max="9" width="20.453125" customWidth="1"/>
    <col min="10" max="10" width="8.7265625" style="2"/>
    <col min="13" max="13" width="24.1796875" customWidth="1"/>
    <col min="17" max="17" width="22.54296875" customWidth="1"/>
  </cols>
  <sheetData>
    <row r="1" spans="1:19" ht="18.5" x14ac:dyDescent="0.45">
      <c r="A1" s="12" t="s">
        <v>9</v>
      </c>
      <c r="B1" s="13" t="s">
        <v>10</v>
      </c>
      <c r="C1" s="14"/>
      <c r="D1" s="12"/>
      <c r="E1" s="15" t="s">
        <v>9</v>
      </c>
      <c r="F1" s="13" t="s">
        <v>10</v>
      </c>
      <c r="G1" s="14"/>
      <c r="H1" s="12"/>
      <c r="I1" s="15" t="s">
        <v>9</v>
      </c>
      <c r="J1" s="13" t="s">
        <v>10</v>
      </c>
      <c r="K1" s="14"/>
      <c r="L1" s="12"/>
      <c r="M1" s="15" t="s">
        <v>9</v>
      </c>
      <c r="N1" s="13" t="s">
        <v>10</v>
      </c>
      <c r="O1" s="14"/>
      <c r="P1" s="12"/>
      <c r="Q1" s="15" t="s">
        <v>9</v>
      </c>
      <c r="R1" s="13" t="s">
        <v>10</v>
      </c>
      <c r="S1" s="14"/>
    </row>
    <row r="2" spans="1:19" ht="18.5" x14ac:dyDescent="0.45">
      <c r="A2" s="4" t="s">
        <v>11</v>
      </c>
      <c r="B2" s="5">
        <v>0</v>
      </c>
      <c r="C2" s="6"/>
      <c r="D2" s="4"/>
      <c r="E2" s="5" t="s">
        <v>17</v>
      </c>
      <c r="F2" s="5">
        <v>7.0300000000000001E-2</v>
      </c>
      <c r="G2" s="6"/>
      <c r="H2" s="4"/>
      <c r="I2" s="5" t="s">
        <v>17</v>
      </c>
      <c r="J2" s="7">
        <v>-6.8400000000000016E-2</v>
      </c>
      <c r="K2" s="6"/>
      <c r="L2" s="4"/>
      <c r="M2" s="5" t="s">
        <v>17</v>
      </c>
      <c r="N2" s="5">
        <v>0.1406</v>
      </c>
      <c r="O2" s="6"/>
      <c r="P2" s="4"/>
      <c r="Q2" s="5" t="s">
        <v>17</v>
      </c>
      <c r="R2" s="5">
        <v>1.899999999999985E-3</v>
      </c>
      <c r="S2" s="6"/>
    </row>
    <row r="3" spans="1:19" ht="18.5" x14ac:dyDescent="0.45">
      <c r="A3" s="4" t="s">
        <v>12</v>
      </c>
      <c r="B3" s="5">
        <v>0</v>
      </c>
      <c r="C3" s="6"/>
      <c r="D3" s="4"/>
      <c r="E3" s="5" t="s">
        <v>18</v>
      </c>
      <c r="F3" s="5">
        <v>6.8699999999999997E-2</v>
      </c>
      <c r="G3" s="6"/>
      <c r="H3" s="4"/>
      <c r="I3" s="5" t="s">
        <v>18</v>
      </c>
      <c r="J3" s="7">
        <v>-7.5999999999999998E-2</v>
      </c>
      <c r="K3" s="6"/>
      <c r="L3" s="4"/>
      <c r="M3" s="5" t="s">
        <v>18</v>
      </c>
      <c r="N3" s="5">
        <v>0.13740000000000002</v>
      </c>
      <c r="O3" s="6"/>
      <c r="P3" s="4"/>
      <c r="Q3" s="5" t="s">
        <v>18</v>
      </c>
      <c r="R3" s="5">
        <v>-7.2999999999999732E-3</v>
      </c>
      <c r="S3" s="6"/>
    </row>
    <row r="4" spans="1:19" ht="18.5" x14ac:dyDescent="0.45">
      <c r="A4" s="4" t="s">
        <v>13</v>
      </c>
      <c r="B4" s="5">
        <v>0</v>
      </c>
      <c r="C4" s="6"/>
      <c r="D4" s="4"/>
      <c r="E4" s="5" t="s">
        <v>19</v>
      </c>
      <c r="F4" s="5">
        <v>2.0000000000000001E-4</v>
      </c>
      <c r="G4" s="6"/>
      <c r="H4" s="4"/>
      <c r="I4" s="5" t="s">
        <v>19</v>
      </c>
      <c r="J4" s="7">
        <v>2.6000000000000003E-3</v>
      </c>
      <c r="K4" s="6"/>
      <c r="L4" s="4"/>
      <c r="M4" s="5" t="s">
        <v>19</v>
      </c>
      <c r="N4" s="5">
        <v>0</v>
      </c>
      <c r="O4" s="6"/>
      <c r="P4" s="4"/>
      <c r="Q4" s="5" t="s">
        <v>19</v>
      </c>
      <c r="R4" s="5">
        <v>2.4000000000000002E-3</v>
      </c>
      <c r="S4" s="6"/>
    </row>
    <row r="5" spans="1:19" ht="18.5" x14ac:dyDescent="0.45">
      <c r="A5" s="4" t="s">
        <v>14</v>
      </c>
      <c r="B5" s="5">
        <v>1E-4</v>
      </c>
      <c r="C5" s="6"/>
      <c r="D5" s="4"/>
      <c r="E5" s="5" t="s">
        <v>14</v>
      </c>
      <c r="F5" s="5">
        <v>1E-4</v>
      </c>
      <c r="G5" s="6"/>
      <c r="H5" s="4"/>
      <c r="I5" s="5" t="s">
        <v>14</v>
      </c>
      <c r="J5" s="7">
        <v>1E-4</v>
      </c>
      <c r="K5" s="6"/>
      <c r="L5" s="4"/>
      <c r="M5" s="5" t="s">
        <v>14</v>
      </c>
      <c r="N5" s="5">
        <v>1E-4</v>
      </c>
      <c r="O5" s="6"/>
      <c r="P5" s="4"/>
      <c r="Q5" s="5" t="s">
        <v>14</v>
      </c>
      <c r="R5" s="5">
        <v>1E-4</v>
      </c>
      <c r="S5" s="6"/>
    </row>
    <row r="6" spans="1:19" ht="18.5" x14ac:dyDescent="0.45">
      <c r="A6" s="4" t="s">
        <v>15</v>
      </c>
      <c r="B6" s="5">
        <v>0.01</v>
      </c>
      <c r="C6" s="6"/>
      <c r="D6" s="4"/>
      <c r="E6" s="5" t="s">
        <v>15</v>
      </c>
      <c r="F6" s="5">
        <v>0.01</v>
      </c>
      <c r="G6" s="6"/>
      <c r="H6" s="4"/>
      <c r="I6" s="5" t="s">
        <v>15</v>
      </c>
      <c r="J6" s="7">
        <v>0.01</v>
      </c>
      <c r="K6" s="6"/>
      <c r="L6" s="4"/>
      <c r="M6" s="5" t="s">
        <v>15</v>
      </c>
      <c r="N6" s="5">
        <v>0.01</v>
      </c>
      <c r="O6" s="6"/>
      <c r="P6" s="4"/>
      <c r="Q6" s="5" t="s">
        <v>15</v>
      </c>
      <c r="R6" s="5">
        <v>0.01</v>
      </c>
      <c r="S6" s="6"/>
    </row>
    <row r="7" spans="1:19" ht="19" thickBot="1" x14ac:dyDescent="0.5">
      <c r="A7" s="8" t="s">
        <v>16</v>
      </c>
      <c r="B7" s="9">
        <v>1</v>
      </c>
      <c r="C7" s="10"/>
      <c r="D7" s="8"/>
      <c r="E7" s="9" t="s">
        <v>16</v>
      </c>
      <c r="F7" s="9">
        <v>2</v>
      </c>
      <c r="G7" s="10"/>
      <c r="H7" s="8"/>
      <c r="I7" s="9" t="s">
        <v>16</v>
      </c>
      <c r="J7" s="11">
        <v>3</v>
      </c>
      <c r="K7" s="10"/>
      <c r="L7" s="8"/>
      <c r="M7" s="9" t="s">
        <v>16</v>
      </c>
      <c r="N7" s="9">
        <v>4</v>
      </c>
      <c r="O7" s="10"/>
      <c r="P7" s="8"/>
      <c r="Q7" s="9" t="s">
        <v>16</v>
      </c>
      <c r="R7" s="9">
        <v>5</v>
      </c>
      <c r="S7" s="10"/>
    </row>
    <row r="8" spans="1:19" x14ac:dyDescent="0.35">
      <c r="A8" s="33"/>
      <c r="B8" s="33"/>
      <c r="C8" s="33"/>
      <c r="D8" s="33"/>
      <c r="E8" s="33"/>
      <c r="F8" s="33"/>
      <c r="G8" s="33"/>
      <c r="H8" s="33"/>
      <c r="I8" s="33"/>
      <c r="J8" s="34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5">
      <c r="A9" s="33"/>
      <c r="B9" s="33"/>
      <c r="C9" s="33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3"/>
      <c r="L10" s="33"/>
      <c r="M10" s="33"/>
      <c r="N10" s="33"/>
      <c r="O10" s="33"/>
      <c r="P10" s="33"/>
      <c r="Q10" s="33"/>
      <c r="R10" s="33"/>
      <c r="S10" s="33"/>
    </row>
    <row r="11" spans="1:19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3"/>
      <c r="R11" s="33"/>
      <c r="S11" s="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344F-2928-4DF2-BFD7-2DFA10569E97}">
  <dimension ref="A1:J12"/>
  <sheetViews>
    <sheetView zoomScale="75" workbookViewId="0">
      <selection activeCell="F16" sqref="F16"/>
    </sheetView>
  </sheetViews>
  <sheetFormatPr defaultRowHeight="14.5" x14ac:dyDescent="0.35"/>
  <cols>
    <col min="1" max="1" width="10.7265625" style="1" customWidth="1"/>
    <col min="2" max="2" width="12.1796875" style="1" customWidth="1"/>
    <col min="3" max="3" width="10.81640625" style="1" customWidth="1"/>
    <col min="4" max="4" width="8.7265625" style="1" customWidth="1"/>
    <col min="5" max="5" width="12.81640625" style="1" customWidth="1"/>
  </cols>
  <sheetData>
    <row r="1" spans="1:10" ht="15.5" x14ac:dyDescent="0.35">
      <c r="A1" s="18" t="s">
        <v>20</v>
      </c>
      <c r="B1" s="18" t="s">
        <v>11</v>
      </c>
      <c r="C1" s="18" t="s">
        <v>12</v>
      </c>
      <c r="D1" s="18" t="s">
        <v>13</v>
      </c>
      <c r="E1" s="18" t="s">
        <v>21</v>
      </c>
      <c r="F1" s="17"/>
      <c r="G1" s="17"/>
      <c r="H1" s="17"/>
      <c r="I1" s="17"/>
      <c r="J1" s="17"/>
    </row>
    <row r="2" spans="1:10" ht="15.5" x14ac:dyDescent="0.35">
      <c r="A2" s="16">
        <v>0</v>
      </c>
      <c r="B2" s="16">
        <v>0</v>
      </c>
      <c r="C2" s="16">
        <v>0</v>
      </c>
      <c r="D2" s="16">
        <v>0</v>
      </c>
      <c r="E2" s="16">
        <v>0</v>
      </c>
      <c r="F2" s="17"/>
      <c r="G2" s="17"/>
      <c r="H2" s="17"/>
      <c r="I2" s="17"/>
      <c r="J2" s="17"/>
    </row>
    <row r="3" spans="1:10" ht="15.5" x14ac:dyDescent="0.35">
      <c r="A3" s="16">
        <v>1</v>
      </c>
      <c r="B3" s="16">
        <f>ModelParameter!B2-ModelParameter!B5*SUM(Iterasi1!G2:'Iterasi1'!G51)</f>
        <v>7.0300000000000001E-2</v>
      </c>
      <c r="C3" s="16">
        <f>ModelParameter!B3-ModelParameter!B5*SUM(Iterasi1!H2:'Iterasi1'!H51)</f>
        <v>6.8699999999999997E-2</v>
      </c>
      <c r="D3" s="16">
        <f>ModelParameter!B4+ModelParameter!B5*SUM(Iterasi1!I2:'Iterasi1'!I51)</f>
        <v>2.0000000000000001E-4</v>
      </c>
      <c r="E3" s="16">
        <f>SUM(Iterasi1!F2:'Iterasi1'!F51)</f>
        <v>50</v>
      </c>
      <c r="F3" s="17"/>
      <c r="G3" s="17"/>
      <c r="H3" s="17"/>
      <c r="I3" s="17"/>
      <c r="J3" s="17"/>
    </row>
    <row r="4" spans="1:10" ht="15.5" x14ac:dyDescent="0.35">
      <c r="A4" s="16">
        <v>2</v>
      </c>
      <c r="B4" s="16">
        <f>ModelParameter!$F$2-ModelParameter!$F$5*SUM(Iterasi2!G2:'Iterasi2'!G51)</f>
        <v>-6.8400000000000016E-2</v>
      </c>
      <c r="C4" s="16">
        <f>ModelParameter!$F$3-ModelParameter!$F$5*SUM(Iterasi2!H2:'Iterasi2'!H51)</f>
        <v>-7.5999999999999998E-2</v>
      </c>
      <c r="D4" s="16">
        <f>ModelParameter!$F$4+ModelParameter!$F$5*SUM(Iterasi2!I2:'Iterasi2'!I51)</f>
        <v>2.6000000000000003E-3</v>
      </c>
      <c r="E4" s="16">
        <f>SUM(Iterasi2!F2:'Iterasi2'!F51)</f>
        <v>220.91979999999995</v>
      </c>
      <c r="F4" s="17"/>
      <c r="G4" s="17"/>
      <c r="H4" s="17"/>
      <c r="I4" s="17"/>
      <c r="J4" s="17"/>
    </row>
    <row r="5" spans="1:10" ht="15.5" x14ac:dyDescent="0.35">
      <c r="A5" s="16">
        <v>3</v>
      </c>
      <c r="B5" s="16">
        <f>ModelParameter!$J$2-ModelParameter!$J$5*SUM(Iterasi3!G2:'Iterasi3'!G51)</f>
        <v>0.1406</v>
      </c>
      <c r="C5" s="16">
        <f>ModelParameter!$J$3-ModelParameter!$J$5*SUM(Iterasi3!H2:'Iterasi3'!H51)</f>
        <v>0.13740000000000002</v>
      </c>
      <c r="D5" s="16">
        <f>ModelParameter!$J$4+ModelParameter!$J$5*SUM(Iterasi3!I2:'Iterasi3'!I51)</f>
        <v>0</v>
      </c>
      <c r="E5" s="16">
        <f>SUM(Iterasi3!F2:'Iterasi3'!F51)</f>
        <v>331.07240000000002</v>
      </c>
      <c r="F5" s="17"/>
      <c r="G5" s="17"/>
      <c r="H5" s="17"/>
      <c r="I5" s="17"/>
      <c r="J5" s="17"/>
    </row>
    <row r="6" spans="1:10" ht="15.5" x14ac:dyDescent="0.35">
      <c r="A6" s="16">
        <v>4</v>
      </c>
      <c r="B6" s="16">
        <f>ModelParameter!$N$2-ModelParameter!$N$5*SUM(Iterasi4!G2:G51)</f>
        <v>1.899999999999985E-3</v>
      </c>
      <c r="C6" s="16">
        <f>ModelParameter!$N$3-ModelParameter!$N$5*SUM(Iterasi4!H2:'Iterasi4'!H51)</f>
        <v>-7.2999999999999732E-3</v>
      </c>
      <c r="D6" s="16">
        <f>ModelParameter!$N$4+ModelParameter!$N$5*SUM(Iterasi4!I2:'Iterasi4'!I51)</f>
        <v>2.4000000000000002E-3</v>
      </c>
      <c r="E6" s="16">
        <f>SUM(Iterasi4!F2:'Iterasi4'!F51)</f>
        <v>417.8300000000001</v>
      </c>
      <c r="F6" s="17"/>
      <c r="G6" s="17"/>
      <c r="H6" s="17"/>
      <c r="I6" s="17"/>
      <c r="J6" s="17"/>
    </row>
    <row r="7" spans="1:10" ht="15.5" x14ac:dyDescent="0.35">
      <c r="A7" s="16">
        <v>5</v>
      </c>
      <c r="B7" s="16">
        <f>ModelParameter!$R$2-ModelParameter!$R$5*SUM(Iterasi5!G2:'Iterasi5'!G51)</f>
        <v>7.2199999999999986E-2</v>
      </c>
      <c r="C7" s="16">
        <f>ModelParameter!$R$3-ModelParameter!$R$5*SUM(Iterasi5!H2:'Iterasi5'!H51)</f>
        <v>6.1400000000000024E-2</v>
      </c>
      <c r="D7" s="16">
        <f>ModelParameter!$R$4+ModelParameter!$R$5*SUM(Iterasi5!I2:'Iterasi5'!I51)</f>
        <v>2.2000000000000001E-3</v>
      </c>
      <c r="E7" s="16">
        <f>SUM(Iterasi5!F2:'Iterasi5'!F51)</f>
        <v>53.674599999999998</v>
      </c>
      <c r="F7" s="17"/>
      <c r="G7" s="17"/>
      <c r="H7" s="17"/>
      <c r="I7" s="17"/>
      <c r="J7" s="17"/>
    </row>
    <row r="8" spans="1:10" x14ac:dyDescent="0.35">
      <c r="A8" s="31"/>
      <c r="B8" s="31"/>
      <c r="C8" s="31"/>
      <c r="D8" s="31"/>
      <c r="E8" s="31"/>
      <c r="F8" s="32"/>
      <c r="G8" s="32"/>
      <c r="H8" s="32"/>
      <c r="I8" s="32"/>
      <c r="J8" s="32"/>
    </row>
    <row r="9" spans="1:10" x14ac:dyDescent="0.35">
      <c r="A9" s="31"/>
      <c r="B9" s="31"/>
      <c r="C9" s="31"/>
      <c r="D9" s="31"/>
      <c r="E9" s="31"/>
      <c r="F9" s="32"/>
      <c r="G9" s="32"/>
      <c r="H9" s="32"/>
      <c r="I9" s="32"/>
      <c r="J9" s="32"/>
    </row>
    <row r="10" spans="1:10" x14ac:dyDescent="0.35">
      <c r="A10" s="31"/>
      <c r="B10" s="31"/>
      <c r="C10" s="31"/>
      <c r="D10" s="31"/>
      <c r="E10" s="31"/>
      <c r="F10" s="32"/>
      <c r="G10" s="32"/>
      <c r="H10" s="32"/>
      <c r="I10" s="32"/>
      <c r="J10" s="32"/>
    </row>
    <row r="11" spans="1:10" x14ac:dyDescent="0.35">
      <c r="A11" s="31"/>
      <c r="B11" s="31"/>
      <c r="C11" s="31"/>
      <c r="D11" s="31"/>
      <c r="E11" s="31"/>
      <c r="F11" s="32"/>
      <c r="G11" s="32"/>
      <c r="H11" s="32"/>
      <c r="I11" s="32"/>
      <c r="J11" s="32"/>
    </row>
    <row r="12" spans="1:10" x14ac:dyDescent="0.35">
      <c r="A12" s="31"/>
      <c r="B12" s="31"/>
      <c r="C12" s="31"/>
      <c r="D12" s="31"/>
      <c r="E12" s="31"/>
      <c r="F12" s="32"/>
      <c r="G12" s="32"/>
      <c r="H12" s="32"/>
      <c r="I12" s="32"/>
      <c r="J12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2F46-EA47-4D59-883A-1141A7157E64}">
  <dimension ref="A1"/>
  <sheetViews>
    <sheetView zoomScale="71" workbookViewId="0">
      <selection activeCell="M13" sqref="M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D666-5534-43CE-B7F5-ABD128B69C72}">
  <dimension ref="A1:I52"/>
  <sheetViews>
    <sheetView zoomScale="77" workbookViewId="0">
      <selection activeCell="Y12" sqref="Y12"/>
    </sheetView>
  </sheetViews>
  <sheetFormatPr defaultRowHeight="14.5" x14ac:dyDescent="0.35"/>
  <cols>
    <col min="1" max="3" width="8.7265625" style="1"/>
    <col min="4" max="4" width="8.7265625" style="1" customWidth="1"/>
    <col min="5" max="9" width="8.7265625" style="1"/>
  </cols>
  <sheetData>
    <row r="1" spans="1:9" x14ac:dyDescent="0.35">
      <c r="A1" s="22" t="s">
        <v>0</v>
      </c>
      <c r="B1" s="22" t="s">
        <v>1</v>
      </c>
      <c r="C1" s="22" t="s">
        <v>2</v>
      </c>
      <c r="D1" s="24" t="s">
        <v>3</v>
      </c>
      <c r="E1" s="24" t="s">
        <v>4</v>
      </c>
      <c r="F1" s="25" t="s">
        <v>5</v>
      </c>
      <c r="G1" s="27" t="s">
        <v>6</v>
      </c>
      <c r="H1" s="27" t="s">
        <v>7</v>
      </c>
      <c r="I1" s="27" t="s">
        <v>8</v>
      </c>
    </row>
    <row r="2" spans="1:9" x14ac:dyDescent="0.35">
      <c r="A2" s="19">
        <v>85</v>
      </c>
      <c r="B2" s="19">
        <v>88</v>
      </c>
      <c r="C2" s="19">
        <v>1</v>
      </c>
      <c r="D2" s="23">
        <f>ModelParameter!$B$2*Iterasi1!A2+ModelParameter!$B$3+ModelParameter!$B$4</f>
        <v>0</v>
      </c>
      <c r="E2" s="23">
        <f>C2*D2</f>
        <v>0</v>
      </c>
      <c r="F2" s="20">
        <f>MAX(0, 1-E2)</f>
        <v>1</v>
      </c>
      <c r="G2" s="29">
        <f>2*ModelParameter!$B$6*ModelParameter!$B$2-Iterasi1!C2*Iterasi1!A2</f>
        <v>-85</v>
      </c>
      <c r="H2" s="29">
        <f>2*ModelParameter!$B$6*ModelParameter!$B$3-Iterasi1!C2*Iterasi1!B2</f>
        <v>-88</v>
      </c>
      <c r="I2" s="29">
        <f xml:space="preserve"> C2</f>
        <v>1</v>
      </c>
    </row>
    <row r="3" spans="1:9" x14ac:dyDescent="0.35">
      <c r="A3" s="19">
        <v>78</v>
      </c>
      <c r="B3" s="19">
        <v>82</v>
      </c>
      <c r="C3" s="19">
        <v>1</v>
      </c>
      <c r="D3" s="23">
        <f>ModelParameter!$B$2*Iterasi1!A3+ModelParameter!$B$3+ModelParameter!$B$4</f>
        <v>0</v>
      </c>
      <c r="E3" s="23">
        <f t="shared" ref="E3:E51" si="0">C3*D3</f>
        <v>0</v>
      </c>
      <c r="F3" s="20">
        <f t="shared" ref="F3:F51" si="1">MAX(0, 1-E3)</f>
        <v>1</v>
      </c>
      <c r="G3" s="29">
        <f>2*ModelParameter!$B$6*ModelParameter!$B$2-Iterasi1!C3*Iterasi1!A3</f>
        <v>-78</v>
      </c>
      <c r="H3" s="29">
        <f>2*ModelParameter!$B$6*ModelParameter!$B$3-Iterasi1!C3*Iterasi1!B3</f>
        <v>-82</v>
      </c>
      <c r="I3" s="29">
        <f t="shared" ref="I3:I51" si="2" xml:space="preserve"> C3</f>
        <v>1</v>
      </c>
    </row>
    <row r="4" spans="1:9" x14ac:dyDescent="0.35">
      <c r="A4" s="19">
        <v>90</v>
      </c>
      <c r="B4" s="19">
        <v>91</v>
      </c>
      <c r="C4" s="19">
        <v>1</v>
      </c>
      <c r="D4" s="23">
        <f>ModelParameter!$B$2*Iterasi1!A4+ModelParameter!$B$3+ModelParameter!$B$4</f>
        <v>0</v>
      </c>
      <c r="E4" s="23">
        <f t="shared" si="0"/>
        <v>0</v>
      </c>
      <c r="F4" s="20">
        <f t="shared" si="1"/>
        <v>1</v>
      </c>
      <c r="G4" s="29">
        <f>2*ModelParameter!$B$6*ModelParameter!$B$2-Iterasi1!C4*Iterasi1!A4</f>
        <v>-90</v>
      </c>
      <c r="H4" s="29">
        <f>2*ModelParameter!$B$6*ModelParameter!$B$3-Iterasi1!C4*Iterasi1!B4</f>
        <v>-91</v>
      </c>
      <c r="I4" s="29">
        <f t="shared" si="2"/>
        <v>1</v>
      </c>
    </row>
    <row r="5" spans="1:9" x14ac:dyDescent="0.35">
      <c r="A5" s="19">
        <v>70</v>
      </c>
      <c r="B5" s="19">
        <v>75</v>
      </c>
      <c r="C5" s="19">
        <v>1</v>
      </c>
      <c r="D5" s="23">
        <f>ModelParameter!$B$2*Iterasi1!A5+ModelParameter!$B$3+ModelParameter!$B$4</f>
        <v>0</v>
      </c>
      <c r="E5" s="23">
        <f t="shared" si="0"/>
        <v>0</v>
      </c>
      <c r="F5" s="20">
        <f t="shared" si="1"/>
        <v>1</v>
      </c>
      <c r="G5" s="29">
        <f>2*ModelParameter!$B$6*ModelParameter!$B$2-Iterasi1!C5*Iterasi1!A5</f>
        <v>-70</v>
      </c>
      <c r="H5" s="29">
        <f>2*ModelParameter!$B$6*ModelParameter!$B$3-Iterasi1!C5*Iterasi1!B5</f>
        <v>-75</v>
      </c>
      <c r="I5" s="29">
        <f t="shared" si="2"/>
        <v>1</v>
      </c>
    </row>
    <row r="6" spans="1:9" x14ac:dyDescent="0.35">
      <c r="A6" s="19">
        <v>88</v>
      </c>
      <c r="B6" s="19">
        <v>84</v>
      </c>
      <c r="C6" s="19">
        <v>1</v>
      </c>
      <c r="D6" s="23">
        <f>ModelParameter!$B$2*Iterasi1!A6+ModelParameter!$B$3+ModelParameter!$B$4</f>
        <v>0</v>
      </c>
      <c r="E6" s="23">
        <f t="shared" si="0"/>
        <v>0</v>
      </c>
      <c r="F6" s="20">
        <f t="shared" si="1"/>
        <v>1</v>
      </c>
      <c r="G6" s="29">
        <f>2*ModelParameter!$B$6*ModelParameter!$B$2-Iterasi1!C6*Iterasi1!A6</f>
        <v>-88</v>
      </c>
      <c r="H6" s="29">
        <f>2*ModelParameter!$B$6*ModelParameter!$B$3-Iterasi1!C6*Iterasi1!B6</f>
        <v>-84</v>
      </c>
      <c r="I6" s="29">
        <f t="shared" si="2"/>
        <v>1</v>
      </c>
    </row>
    <row r="7" spans="1:9" x14ac:dyDescent="0.35">
      <c r="A7" s="19">
        <v>92</v>
      </c>
      <c r="B7" s="19">
        <v>89</v>
      </c>
      <c r="C7" s="19">
        <v>1</v>
      </c>
      <c r="D7" s="23">
        <f>ModelParameter!$B$2*Iterasi1!A7+ModelParameter!$B$3+ModelParameter!$B$4</f>
        <v>0</v>
      </c>
      <c r="E7" s="23">
        <f t="shared" si="0"/>
        <v>0</v>
      </c>
      <c r="F7" s="20">
        <f t="shared" si="1"/>
        <v>1</v>
      </c>
      <c r="G7" s="29">
        <f>2*ModelParameter!$B$6*ModelParameter!$B$2-Iterasi1!C7*Iterasi1!A7</f>
        <v>-92</v>
      </c>
      <c r="H7" s="29">
        <f>2*ModelParameter!$B$6*ModelParameter!$B$3-Iterasi1!C7*Iterasi1!B7</f>
        <v>-89</v>
      </c>
      <c r="I7" s="29">
        <f t="shared" si="2"/>
        <v>1</v>
      </c>
    </row>
    <row r="8" spans="1:9" x14ac:dyDescent="0.35">
      <c r="A8" s="19">
        <v>76</v>
      </c>
      <c r="B8" s="19">
        <v>80</v>
      </c>
      <c r="C8" s="19">
        <v>1</v>
      </c>
      <c r="D8" s="23">
        <f>ModelParameter!$B$2*Iterasi1!A8+ModelParameter!$B$3+ModelParameter!$B$4</f>
        <v>0</v>
      </c>
      <c r="E8" s="23">
        <f t="shared" si="0"/>
        <v>0</v>
      </c>
      <c r="F8" s="20">
        <f t="shared" si="1"/>
        <v>1</v>
      </c>
      <c r="G8" s="29">
        <f>2*ModelParameter!$B$6*ModelParameter!$B$2-Iterasi1!C8*Iterasi1!A8</f>
        <v>-76</v>
      </c>
      <c r="H8" s="29">
        <f>2*ModelParameter!$B$6*ModelParameter!$B$3-Iterasi1!C8*Iterasi1!B8</f>
        <v>-80</v>
      </c>
      <c r="I8" s="29">
        <f t="shared" si="2"/>
        <v>1</v>
      </c>
    </row>
    <row r="9" spans="1:9" x14ac:dyDescent="0.35">
      <c r="A9" s="19">
        <v>83</v>
      </c>
      <c r="B9" s="19">
        <v>79</v>
      </c>
      <c r="C9" s="19">
        <v>1</v>
      </c>
      <c r="D9" s="23">
        <f>ModelParameter!$B$2*Iterasi1!A9+ModelParameter!$B$3+ModelParameter!$B$4</f>
        <v>0</v>
      </c>
      <c r="E9" s="23">
        <f t="shared" si="0"/>
        <v>0</v>
      </c>
      <c r="F9" s="20">
        <f t="shared" si="1"/>
        <v>1</v>
      </c>
      <c r="G9" s="29">
        <f>2*ModelParameter!$B$6*ModelParameter!$B$2-Iterasi1!C9*Iterasi1!A9</f>
        <v>-83</v>
      </c>
      <c r="H9" s="29">
        <f>2*ModelParameter!$B$6*ModelParameter!$B$3-Iterasi1!C9*Iterasi1!B9</f>
        <v>-79</v>
      </c>
      <c r="I9" s="29">
        <f t="shared" si="2"/>
        <v>1</v>
      </c>
    </row>
    <row r="10" spans="1:9" x14ac:dyDescent="0.35">
      <c r="A10" s="19">
        <v>87</v>
      </c>
      <c r="B10" s="19">
        <v>90</v>
      </c>
      <c r="C10" s="19">
        <v>1</v>
      </c>
      <c r="D10" s="23">
        <f>ModelParameter!$B$2*Iterasi1!A10+ModelParameter!$B$3+ModelParameter!$B$4</f>
        <v>0</v>
      </c>
      <c r="E10" s="23">
        <f t="shared" si="0"/>
        <v>0</v>
      </c>
      <c r="F10" s="20">
        <f t="shared" si="1"/>
        <v>1</v>
      </c>
      <c r="G10" s="29">
        <f>2*ModelParameter!$B$6*ModelParameter!$B$2-Iterasi1!C10*Iterasi1!A10</f>
        <v>-87</v>
      </c>
      <c r="H10" s="29">
        <f>2*ModelParameter!$B$6*ModelParameter!$B$3-Iterasi1!C10*Iterasi1!B10</f>
        <v>-90</v>
      </c>
      <c r="I10" s="29">
        <f t="shared" si="2"/>
        <v>1</v>
      </c>
    </row>
    <row r="11" spans="1:9" x14ac:dyDescent="0.35">
      <c r="A11" s="19">
        <v>80</v>
      </c>
      <c r="B11" s="19">
        <v>85</v>
      </c>
      <c r="C11" s="19">
        <v>1</v>
      </c>
      <c r="D11" s="23">
        <f>ModelParameter!$B$2*Iterasi1!A11+ModelParameter!$B$3+ModelParameter!$B$4</f>
        <v>0</v>
      </c>
      <c r="E11" s="23">
        <f t="shared" si="0"/>
        <v>0</v>
      </c>
      <c r="F11" s="20">
        <f t="shared" si="1"/>
        <v>1</v>
      </c>
      <c r="G11" s="29">
        <f>2*ModelParameter!$B$6*ModelParameter!$B$2-Iterasi1!C11*Iterasi1!A11</f>
        <v>-80</v>
      </c>
      <c r="H11" s="29">
        <f>2*ModelParameter!$B$6*ModelParameter!$B$3-Iterasi1!C11*Iterasi1!B11</f>
        <v>-85</v>
      </c>
      <c r="I11" s="29">
        <f t="shared" si="2"/>
        <v>1</v>
      </c>
    </row>
    <row r="12" spans="1:9" x14ac:dyDescent="0.35">
      <c r="A12" s="19">
        <v>74</v>
      </c>
      <c r="B12" s="19">
        <v>78</v>
      </c>
      <c r="C12" s="19">
        <v>1</v>
      </c>
      <c r="D12" s="23">
        <f>ModelParameter!$B$2*Iterasi1!A12+ModelParameter!$B$3+ModelParameter!$B$4</f>
        <v>0</v>
      </c>
      <c r="E12" s="23">
        <f t="shared" si="0"/>
        <v>0</v>
      </c>
      <c r="F12" s="20">
        <f t="shared" si="1"/>
        <v>1</v>
      </c>
      <c r="G12" s="29">
        <f>2*ModelParameter!$B$6*ModelParameter!$B$2-Iterasi1!C12*Iterasi1!A12</f>
        <v>-74</v>
      </c>
      <c r="H12" s="29">
        <f>2*ModelParameter!$B$6*ModelParameter!$B$3-Iterasi1!C12*Iterasi1!B12</f>
        <v>-78</v>
      </c>
      <c r="I12" s="29">
        <f t="shared" si="2"/>
        <v>1</v>
      </c>
    </row>
    <row r="13" spans="1:9" x14ac:dyDescent="0.35">
      <c r="A13" s="19">
        <v>89</v>
      </c>
      <c r="B13" s="19">
        <v>86</v>
      </c>
      <c r="C13" s="19">
        <v>1</v>
      </c>
      <c r="D13" s="23">
        <f>ModelParameter!$B$2*Iterasi1!A13+ModelParameter!$B$3+ModelParameter!$B$4</f>
        <v>0</v>
      </c>
      <c r="E13" s="23">
        <f t="shared" si="0"/>
        <v>0</v>
      </c>
      <c r="F13" s="20">
        <f t="shared" si="1"/>
        <v>1</v>
      </c>
      <c r="G13" s="29">
        <f>2*ModelParameter!$B$6*ModelParameter!$B$2-Iterasi1!C13*Iterasi1!A13</f>
        <v>-89</v>
      </c>
      <c r="H13" s="29">
        <f>2*ModelParameter!$B$6*ModelParameter!$B$3-Iterasi1!C13*Iterasi1!B13</f>
        <v>-86</v>
      </c>
      <c r="I13" s="29">
        <f t="shared" si="2"/>
        <v>1</v>
      </c>
    </row>
    <row r="14" spans="1:9" x14ac:dyDescent="0.35">
      <c r="A14" s="19">
        <v>81</v>
      </c>
      <c r="B14" s="19">
        <v>83</v>
      </c>
      <c r="C14" s="19">
        <v>1</v>
      </c>
      <c r="D14" s="23">
        <f>ModelParameter!$B$2*Iterasi1!A14+ModelParameter!$B$3+ModelParameter!$B$4</f>
        <v>0</v>
      </c>
      <c r="E14" s="23">
        <f t="shared" si="0"/>
        <v>0</v>
      </c>
      <c r="F14" s="20">
        <f t="shared" si="1"/>
        <v>1</v>
      </c>
      <c r="G14" s="29">
        <f>2*ModelParameter!$B$6*ModelParameter!$B$2-Iterasi1!C14*Iterasi1!A14</f>
        <v>-81</v>
      </c>
      <c r="H14" s="29">
        <f>2*ModelParameter!$B$6*ModelParameter!$B$3-Iterasi1!C14*Iterasi1!B14</f>
        <v>-83</v>
      </c>
      <c r="I14" s="29">
        <f t="shared" si="2"/>
        <v>1</v>
      </c>
    </row>
    <row r="15" spans="1:9" x14ac:dyDescent="0.35">
      <c r="A15" s="19">
        <v>77</v>
      </c>
      <c r="B15" s="19">
        <v>76</v>
      </c>
      <c r="C15" s="19">
        <v>1</v>
      </c>
      <c r="D15" s="23">
        <f>ModelParameter!$B$2*Iterasi1!A15+ModelParameter!$B$3+ModelParameter!$B$4</f>
        <v>0</v>
      </c>
      <c r="E15" s="23">
        <f t="shared" si="0"/>
        <v>0</v>
      </c>
      <c r="F15" s="20">
        <f t="shared" si="1"/>
        <v>1</v>
      </c>
      <c r="G15" s="29">
        <f>2*ModelParameter!$B$6*ModelParameter!$B$2-Iterasi1!C15*Iterasi1!A15</f>
        <v>-77</v>
      </c>
      <c r="H15" s="29">
        <f>2*ModelParameter!$B$6*ModelParameter!$B$3-Iterasi1!C15*Iterasi1!B15</f>
        <v>-76</v>
      </c>
      <c r="I15" s="29">
        <f t="shared" si="2"/>
        <v>1</v>
      </c>
    </row>
    <row r="16" spans="1:9" x14ac:dyDescent="0.35">
      <c r="A16" s="19">
        <v>84</v>
      </c>
      <c r="B16" s="19">
        <v>88</v>
      </c>
      <c r="C16" s="19">
        <v>1</v>
      </c>
      <c r="D16" s="23">
        <f>ModelParameter!$B$2*Iterasi1!A16+ModelParameter!$B$3+ModelParameter!$B$4</f>
        <v>0</v>
      </c>
      <c r="E16" s="23">
        <f t="shared" si="0"/>
        <v>0</v>
      </c>
      <c r="F16" s="20">
        <f t="shared" si="1"/>
        <v>1</v>
      </c>
      <c r="G16" s="29">
        <f>2*ModelParameter!$B$6*ModelParameter!$B$2-Iterasi1!C16*Iterasi1!A16</f>
        <v>-84</v>
      </c>
      <c r="H16" s="29">
        <f>2*ModelParameter!$B$6*ModelParameter!$B$3-Iterasi1!C16*Iterasi1!B16</f>
        <v>-88</v>
      </c>
      <c r="I16" s="29">
        <f t="shared" si="2"/>
        <v>1</v>
      </c>
    </row>
    <row r="17" spans="1:9" x14ac:dyDescent="0.35">
      <c r="A17" s="19">
        <v>65</v>
      </c>
      <c r="B17" s="19">
        <v>70</v>
      </c>
      <c r="C17" s="19">
        <v>-1</v>
      </c>
      <c r="D17" s="23">
        <f>ModelParameter!$B$2*Iterasi1!A17+ModelParameter!$B$3+ModelParameter!$B$4</f>
        <v>0</v>
      </c>
      <c r="E17" s="23">
        <f t="shared" si="0"/>
        <v>0</v>
      </c>
      <c r="F17" s="20">
        <f t="shared" si="1"/>
        <v>1</v>
      </c>
      <c r="G17" s="29">
        <f>2*ModelParameter!$B$6*ModelParameter!$B$2-Iterasi1!C17*Iterasi1!A17</f>
        <v>65</v>
      </c>
      <c r="H17" s="29">
        <f>2*ModelParameter!$B$6*ModelParameter!$B$3-Iterasi1!C17*Iterasi1!B17</f>
        <v>70</v>
      </c>
      <c r="I17" s="29">
        <f t="shared" si="2"/>
        <v>-1</v>
      </c>
    </row>
    <row r="18" spans="1:9" x14ac:dyDescent="0.35">
      <c r="A18" s="19">
        <v>60</v>
      </c>
      <c r="B18" s="19">
        <v>68</v>
      </c>
      <c r="C18" s="19">
        <v>-1</v>
      </c>
      <c r="D18" s="23">
        <f>ModelParameter!$B$2*Iterasi1!A18+ModelParameter!$B$3+ModelParameter!$B$4</f>
        <v>0</v>
      </c>
      <c r="E18" s="23">
        <f t="shared" si="0"/>
        <v>0</v>
      </c>
      <c r="F18" s="20">
        <f t="shared" si="1"/>
        <v>1</v>
      </c>
      <c r="G18" s="29">
        <f>2*ModelParameter!$B$6*ModelParameter!$B$2-Iterasi1!C18*Iterasi1!A18</f>
        <v>60</v>
      </c>
      <c r="H18" s="29">
        <f>2*ModelParameter!$B$6*ModelParameter!$B$3-Iterasi1!C18*Iterasi1!B18</f>
        <v>68</v>
      </c>
      <c r="I18" s="29">
        <f t="shared" si="2"/>
        <v>-1</v>
      </c>
    </row>
    <row r="19" spans="1:9" x14ac:dyDescent="0.35">
      <c r="A19" s="19">
        <v>55</v>
      </c>
      <c r="B19" s="19">
        <v>62</v>
      </c>
      <c r="C19" s="19">
        <v>-1</v>
      </c>
      <c r="D19" s="23">
        <f>ModelParameter!$B$2*Iterasi1!A19+ModelParameter!$B$3+ModelParameter!$B$4</f>
        <v>0</v>
      </c>
      <c r="E19" s="23">
        <f t="shared" si="0"/>
        <v>0</v>
      </c>
      <c r="F19" s="20">
        <f t="shared" si="1"/>
        <v>1</v>
      </c>
      <c r="G19" s="29">
        <f>2*ModelParameter!$B$6*ModelParameter!$B$2-Iterasi1!C19*Iterasi1!A19</f>
        <v>55</v>
      </c>
      <c r="H19" s="29">
        <f>2*ModelParameter!$B$6*ModelParameter!$B$3-Iterasi1!C19*Iterasi1!B19</f>
        <v>62</v>
      </c>
      <c r="I19" s="29">
        <f t="shared" si="2"/>
        <v>-1</v>
      </c>
    </row>
    <row r="20" spans="1:9" x14ac:dyDescent="0.35">
      <c r="A20" s="19">
        <v>72</v>
      </c>
      <c r="B20" s="19">
        <v>65</v>
      </c>
      <c r="C20" s="19">
        <v>-1</v>
      </c>
      <c r="D20" s="23">
        <f>ModelParameter!$B$2*Iterasi1!A20+ModelParameter!$B$3+ModelParameter!$B$4</f>
        <v>0</v>
      </c>
      <c r="E20" s="23">
        <f t="shared" si="0"/>
        <v>0</v>
      </c>
      <c r="F20" s="20">
        <f t="shared" si="1"/>
        <v>1</v>
      </c>
      <c r="G20" s="29">
        <f>2*ModelParameter!$B$6*ModelParameter!$B$2-Iterasi1!C20*Iterasi1!A20</f>
        <v>72</v>
      </c>
      <c r="H20" s="29">
        <f>2*ModelParameter!$B$6*ModelParameter!$B$3-Iterasi1!C20*Iterasi1!B20</f>
        <v>65</v>
      </c>
      <c r="I20" s="29">
        <f t="shared" si="2"/>
        <v>-1</v>
      </c>
    </row>
    <row r="21" spans="1:9" x14ac:dyDescent="0.35">
      <c r="A21" s="19">
        <v>58</v>
      </c>
      <c r="B21" s="19">
        <v>60</v>
      </c>
      <c r="C21" s="19">
        <v>-1</v>
      </c>
      <c r="D21" s="23">
        <f>ModelParameter!$B$2*Iterasi1!A21+ModelParameter!$B$3+ModelParameter!$B$4</f>
        <v>0</v>
      </c>
      <c r="E21" s="23">
        <f t="shared" si="0"/>
        <v>0</v>
      </c>
      <c r="F21" s="20">
        <f t="shared" si="1"/>
        <v>1</v>
      </c>
      <c r="G21" s="29">
        <f>2*ModelParameter!$B$6*ModelParameter!$B$2-Iterasi1!C21*Iterasi1!A21</f>
        <v>58</v>
      </c>
      <c r="H21" s="29">
        <f>2*ModelParameter!$B$6*ModelParameter!$B$3-Iterasi1!C21*Iterasi1!B21</f>
        <v>60</v>
      </c>
      <c r="I21" s="29">
        <f t="shared" si="2"/>
        <v>-1</v>
      </c>
    </row>
    <row r="22" spans="1:9" x14ac:dyDescent="0.35">
      <c r="A22" s="19">
        <v>62</v>
      </c>
      <c r="B22" s="19">
        <v>66</v>
      </c>
      <c r="C22" s="19">
        <v>-1</v>
      </c>
      <c r="D22" s="23">
        <f>ModelParameter!$B$2*Iterasi1!A22+ModelParameter!$B$3+ModelParameter!$B$4</f>
        <v>0</v>
      </c>
      <c r="E22" s="23">
        <f t="shared" si="0"/>
        <v>0</v>
      </c>
      <c r="F22" s="20">
        <f t="shared" si="1"/>
        <v>1</v>
      </c>
      <c r="G22" s="29">
        <f>2*ModelParameter!$B$6*ModelParameter!$B$2-Iterasi1!C22*Iterasi1!A22</f>
        <v>62</v>
      </c>
      <c r="H22" s="29">
        <f>2*ModelParameter!$B$6*ModelParameter!$B$3-Iterasi1!C22*Iterasi1!B22</f>
        <v>66</v>
      </c>
      <c r="I22" s="29">
        <f t="shared" si="2"/>
        <v>-1</v>
      </c>
    </row>
    <row r="23" spans="1:9" x14ac:dyDescent="0.35">
      <c r="A23" s="19">
        <v>67</v>
      </c>
      <c r="B23" s="19">
        <v>69</v>
      </c>
      <c r="C23" s="19">
        <v>-1</v>
      </c>
      <c r="D23" s="23">
        <f>ModelParameter!$B$2*Iterasi1!A23+ModelParameter!$B$3+ModelParameter!$B$4</f>
        <v>0</v>
      </c>
      <c r="E23" s="23">
        <f t="shared" si="0"/>
        <v>0</v>
      </c>
      <c r="F23" s="20">
        <f t="shared" si="1"/>
        <v>1</v>
      </c>
      <c r="G23" s="29">
        <f>2*ModelParameter!$B$6*ModelParameter!$B$2-Iterasi1!C23*Iterasi1!A23</f>
        <v>67</v>
      </c>
      <c r="H23" s="29">
        <f>2*ModelParameter!$B$6*ModelParameter!$B$3-Iterasi1!C23*Iterasi1!B23</f>
        <v>69</v>
      </c>
      <c r="I23" s="29">
        <f t="shared" si="2"/>
        <v>-1</v>
      </c>
    </row>
    <row r="24" spans="1:9" x14ac:dyDescent="0.35">
      <c r="A24" s="19">
        <v>50</v>
      </c>
      <c r="B24" s="19">
        <v>55</v>
      </c>
      <c r="C24" s="19">
        <v>-1</v>
      </c>
      <c r="D24" s="23">
        <f>ModelParameter!$B$2*Iterasi1!A24+ModelParameter!$B$3+ModelParameter!$B$4</f>
        <v>0</v>
      </c>
      <c r="E24" s="23">
        <f t="shared" si="0"/>
        <v>0</v>
      </c>
      <c r="F24" s="20">
        <f t="shared" si="1"/>
        <v>1</v>
      </c>
      <c r="G24" s="29">
        <f>2*ModelParameter!$B$6*ModelParameter!$B$2-Iterasi1!C24*Iterasi1!A24</f>
        <v>50</v>
      </c>
      <c r="H24" s="29">
        <f>2*ModelParameter!$B$6*ModelParameter!$B$3-Iterasi1!C24*Iterasi1!B24</f>
        <v>55</v>
      </c>
      <c r="I24" s="29">
        <f t="shared" si="2"/>
        <v>-1</v>
      </c>
    </row>
    <row r="25" spans="1:9" x14ac:dyDescent="0.35">
      <c r="A25" s="19">
        <v>45</v>
      </c>
      <c r="B25" s="19">
        <v>52</v>
      </c>
      <c r="C25" s="19">
        <v>-1</v>
      </c>
      <c r="D25" s="23">
        <f>ModelParameter!$B$2*Iterasi1!A25+ModelParameter!$B$3+ModelParameter!$B$4</f>
        <v>0</v>
      </c>
      <c r="E25" s="23">
        <f t="shared" si="0"/>
        <v>0</v>
      </c>
      <c r="F25" s="20">
        <f t="shared" si="1"/>
        <v>1</v>
      </c>
      <c r="G25" s="29">
        <f>2*ModelParameter!$B$6*ModelParameter!$B$2-Iterasi1!C25*Iterasi1!A25</f>
        <v>45</v>
      </c>
      <c r="H25" s="29">
        <f>2*ModelParameter!$B$6*ModelParameter!$B$3-Iterasi1!C25*Iterasi1!B25</f>
        <v>52</v>
      </c>
      <c r="I25" s="29">
        <f t="shared" si="2"/>
        <v>-1</v>
      </c>
    </row>
    <row r="26" spans="1:9" x14ac:dyDescent="0.35">
      <c r="A26" s="19">
        <v>59</v>
      </c>
      <c r="B26" s="19">
        <v>63</v>
      </c>
      <c r="C26" s="19">
        <v>-1</v>
      </c>
      <c r="D26" s="23">
        <f>ModelParameter!$B$2*Iterasi1!A26+ModelParameter!$B$3+ModelParameter!$B$4</f>
        <v>0</v>
      </c>
      <c r="E26" s="23">
        <f t="shared" si="0"/>
        <v>0</v>
      </c>
      <c r="F26" s="20">
        <f t="shared" si="1"/>
        <v>1</v>
      </c>
      <c r="G26" s="29">
        <f>2*ModelParameter!$B$6*ModelParameter!$B$2-Iterasi1!C26*Iterasi1!A26</f>
        <v>59</v>
      </c>
      <c r="H26" s="29">
        <f>2*ModelParameter!$B$6*ModelParameter!$B$3-Iterasi1!C26*Iterasi1!B26</f>
        <v>63</v>
      </c>
      <c r="I26" s="29">
        <f t="shared" si="2"/>
        <v>-1</v>
      </c>
    </row>
    <row r="27" spans="1:9" x14ac:dyDescent="0.35">
      <c r="A27" s="19">
        <v>64</v>
      </c>
      <c r="B27" s="19">
        <v>67</v>
      </c>
      <c r="C27" s="19">
        <v>-1</v>
      </c>
      <c r="D27" s="23">
        <f>ModelParameter!$B$2*Iterasi1!A27+ModelParameter!$B$3+ModelParameter!$B$4</f>
        <v>0</v>
      </c>
      <c r="E27" s="23">
        <f t="shared" si="0"/>
        <v>0</v>
      </c>
      <c r="F27" s="20">
        <f t="shared" si="1"/>
        <v>1</v>
      </c>
      <c r="G27" s="29">
        <f>2*ModelParameter!$B$6*ModelParameter!$B$2-Iterasi1!C27*Iterasi1!A27</f>
        <v>64</v>
      </c>
      <c r="H27" s="29">
        <f>2*ModelParameter!$B$6*ModelParameter!$B$3-Iterasi1!C27*Iterasi1!B27</f>
        <v>67</v>
      </c>
      <c r="I27" s="29">
        <f t="shared" si="2"/>
        <v>-1</v>
      </c>
    </row>
    <row r="28" spans="1:9" x14ac:dyDescent="0.35">
      <c r="A28" s="19">
        <v>68</v>
      </c>
      <c r="B28" s="19">
        <v>64</v>
      </c>
      <c r="C28" s="19">
        <v>-1</v>
      </c>
      <c r="D28" s="23">
        <f>ModelParameter!$B$2*Iterasi1!A28+ModelParameter!$B$3+ModelParameter!$B$4</f>
        <v>0</v>
      </c>
      <c r="E28" s="23">
        <f t="shared" si="0"/>
        <v>0</v>
      </c>
      <c r="F28" s="20">
        <f t="shared" si="1"/>
        <v>1</v>
      </c>
      <c r="G28" s="29">
        <f>2*ModelParameter!$B$6*ModelParameter!$B$2-Iterasi1!C28*Iterasi1!A28</f>
        <v>68</v>
      </c>
      <c r="H28" s="29">
        <f>2*ModelParameter!$B$6*ModelParameter!$B$3-Iterasi1!C28*Iterasi1!B28</f>
        <v>64</v>
      </c>
      <c r="I28" s="29">
        <f t="shared" si="2"/>
        <v>-1</v>
      </c>
    </row>
    <row r="29" spans="1:9" x14ac:dyDescent="0.35">
      <c r="A29" s="19">
        <v>57</v>
      </c>
      <c r="B29" s="19">
        <v>59</v>
      </c>
      <c r="C29" s="19">
        <v>-1</v>
      </c>
      <c r="D29" s="23">
        <f>ModelParameter!$B$2*Iterasi1!A29+ModelParameter!$B$3+ModelParameter!$B$4</f>
        <v>0</v>
      </c>
      <c r="E29" s="23">
        <f t="shared" si="0"/>
        <v>0</v>
      </c>
      <c r="F29" s="20">
        <f t="shared" si="1"/>
        <v>1</v>
      </c>
      <c r="G29" s="29">
        <f>2*ModelParameter!$B$6*ModelParameter!$B$2-Iterasi1!C29*Iterasi1!A29</f>
        <v>57</v>
      </c>
      <c r="H29" s="29">
        <f>2*ModelParameter!$B$6*ModelParameter!$B$3-Iterasi1!C29*Iterasi1!B29</f>
        <v>59</v>
      </c>
      <c r="I29" s="29">
        <f t="shared" si="2"/>
        <v>-1</v>
      </c>
    </row>
    <row r="30" spans="1:9" x14ac:dyDescent="0.35">
      <c r="A30" s="19">
        <v>61</v>
      </c>
      <c r="B30" s="19">
        <v>65</v>
      </c>
      <c r="C30" s="19">
        <v>-1</v>
      </c>
      <c r="D30" s="23">
        <f>ModelParameter!$B$2*Iterasi1!A30+ModelParameter!$B$3+ModelParameter!$B$4</f>
        <v>0</v>
      </c>
      <c r="E30" s="23">
        <f t="shared" si="0"/>
        <v>0</v>
      </c>
      <c r="F30" s="20">
        <f t="shared" si="1"/>
        <v>1</v>
      </c>
      <c r="G30" s="29">
        <f>2*ModelParameter!$B$6*ModelParameter!$B$2-Iterasi1!C30*Iterasi1!A30</f>
        <v>61</v>
      </c>
      <c r="H30" s="29">
        <f>2*ModelParameter!$B$6*ModelParameter!$B$3-Iterasi1!C30*Iterasi1!B30</f>
        <v>65</v>
      </c>
      <c r="I30" s="29">
        <f t="shared" si="2"/>
        <v>-1</v>
      </c>
    </row>
    <row r="31" spans="1:9" x14ac:dyDescent="0.35">
      <c r="A31" s="19">
        <v>53</v>
      </c>
      <c r="B31" s="19">
        <v>58</v>
      </c>
      <c r="C31" s="19">
        <v>-1</v>
      </c>
      <c r="D31" s="23">
        <f>ModelParameter!$B$2*Iterasi1!A31+ModelParameter!$B$3+ModelParameter!$B$4</f>
        <v>0</v>
      </c>
      <c r="E31" s="23">
        <f t="shared" si="0"/>
        <v>0</v>
      </c>
      <c r="F31" s="20">
        <f t="shared" si="1"/>
        <v>1</v>
      </c>
      <c r="G31" s="29">
        <f>2*ModelParameter!$B$6*ModelParameter!$B$2-Iterasi1!C31*Iterasi1!A31</f>
        <v>53</v>
      </c>
      <c r="H31" s="29">
        <f>2*ModelParameter!$B$6*ModelParameter!$B$3-Iterasi1!C31*Iterasi1!B31</f>
        <v>58</v>
      </c>
      <c r="I31" s="29">
        <f t="shared" si="2"/>
        <v>-1</v>
      </c>
    </row>
    <row r="32" spans="1:9" x14ac:dyDescent="0.35">
      <c r="A32" s="19">
        <v>82</v>
      </c>
      <c r="B32" s="19">
        <v>87</v>
      </c>
      <c r="C32" s="19">
        <v>1</v>
      </c>
      <c r="D32" s="23">
        <f>ModelParameter!$B$2*Iterasi1!A32+ModelParameter!$B$3+ModelParameter!$B$4</f>
        <v>0</v>
      </c>
      <c r="E32" s="23">
        <f t="shared" si="0"/>
        <v>0</v>
      </c>
      <c r="F32" s="20">
        <f t="shared" si="1"/>
        <v>1</v>
      </c>
      <c r="G32" s="29">
        <f>2*ModelParameter!$B$6*ModelParameter!$B$2-Iterasi1!C32*Iterasi1!A32</f>
        <v>-82</v>
      </c>
      <c r="H32" s="29">
        <f>2*ModelParameter!$B$6*ModelParameter!$B$3-Iterasi1!C32*Iterasi1!B32</f>
        <v>-87</v>
      </c>
      <c r="I32" s="29">
        <f t="shared" si="2"/>
        <v>1</v>
      </c>
    </row>
    <row r="33" spans="1:9" x14ac:dyDescent="0.35">
      <c r="A33" s="19">
        <v>79</v>
      </c>
      <c r="B33" s="19">
        <v>81</v>
      </c>
      <c r="C33" s="19">
        <v>1</v>
      </c>
      <c r="D33" s="23">
        <f>ModelParameter!$B$2*Iterasi1!A33+ModelParameter!$B$3+ModelParameter!$B$4</f>
        <v>0</v>
      </c>
      <c r="E33" s="23">
        <f t="shared" si="0"/>
        <v>0</v>
      </c>
      <c r="F33" s="20">
        <f t="shared" si="1"/>
        <v>1</v>
      </c>
      <c r="G33" s="29">
        <f>2*ModelParameter!$B$6*ModelParameter!$B$2-Iterasi1!C33*Iterasi1!A33</f>
        <v>-79</v>
      </c>
      <c r="H33" s="29">
        <f>2*ModelParameter!$B$6*ModelParameter!$B$3-Iterasi1!C33*Iterasi1!B33</f>
        <v>-81</v>
      </c>
      <c r="I33" s="29">
        <f t="shared" si="2"/>
        <v>1</v>
      </c>
    </row>
    <row r="34" spans="1:9" x14ac:dyDescent="0.35">
      <c r="A34" s="19">
        <v>86</v>
      </c>
      <c r="B34" s="19">
        <v>90</v>
      </c>
      <c r="C34" s="19">
        <v>1</v>
      </c>
      <c r="D34" s="23">
        <f>ModelParameter!$B$2*Iterasi1!A34+ModelParameter!$B$3+ModelParameter!$B$4</f>
        <v>0</v>
      </c>
      <c r="E34" s="23">
        <f t="shared" si="0"/>
        <v>0</v>
      </c>
      <c r="F34" s="20">
        <f t="shared" si="1"/>
        <v>1</v>
      </c>
      <c r="G34" s="29">
        <f>2*ModelParameter!$B$6*ModelParameter!$B$2-Iterasi1!C34*Iterasi1!A34</f>
        <v>-86</v>
      </c>
      <c r="H34" s="29">
        <f>2*ModelParameter!$B$6*ModelParameter!$B$3-Iterasi1!C34*Iterasi1!B34</f>
        <v>-90</v>
      </c>
      <c r="I34" s="29">
        <f t="shared" si="2"/>
        <v>1</v>
      </c>
    </row>
    <row r="35" spans="1:9" x14ac:dyDescent="0.35">
      <c r="A35" s="19">
        <v>73</v>
      </c>
      <c r="B35" s="19">
        <v>77</v>
      </c>
      <c r="C35" s="19">
        <v>1</v>
      </c>
      <c r="D35" s="23">
        <f>ModelParameter!$B$2*Iterasi1!A35+ModelParameter!$B$3+ModelParameter!$B$4</f>
        <v>0</v>
      </c>
      <c r="E35" s="23">
        <f t="shared" si="0"/>
        <v>0</v>
      </c>
      <c r="F35" s="20">
        <f t="shared" si="1"/>
        <v>1</v>
      </c>
      <c r="G35" s="29">
        <f>2*ModelParameter!$B$6*ModelParameter!$B$2-Iterasi1!C35*Iterasi1!A35</f>
        <v>-73</v>
      </c>
      <c r="H35" s="29">
        <f>2*ModelParameter!$B$6*ModelParameter!$B$3-Iterasi1!C35*Iterasi1!B35</f>
        <v>-77</v>
      </c>
      <c r="I35" s="29">
        <f t="shared" si="2"/>
        <v>1</v>
      </c>
    </row>
    <row r="36" spans="1:9" x14ac:dyDescent="0.35">
      <c r="A36" s="19">
        <v>75</v>
      </c>
      <c r="B36" s="19">
        <v>79</v>
      </c>
      <c r="C36" s="19">
        <v>1</v>
      </c>
      <c r="D36" s="23">
        <f>ModelParameter!$B$2*Iterasi1!A36+ModelParameter!$B$3+ModelParameter!$B$4</f>
        <v>0</v>
      </c>
      <c r="E36" s="23">
        <f t="shared" si="0"/>
        <v>0</v>
      </c>
      <c r="F36" s="20">
        <f t="shared" si="1"/>
        <v>1</v>
      </c>
      <c r="G36" s="29">
        <f>2*ModelParameter!$B$6*ModelParameter!$B$2-Iterasi1!C36*Iterasi1!A36</f>
        <v>-75</v>
      </c>
      <c r="H36" s="29">
        <f>2*ModelParameter!$B$6*ModelParameter!$B$3-Iterasi1!C36*Iterasi1!B36</f>
        <v>-79</v>
      </c>
      <c r="I36" s="29">
        <f t="shared" si="2"/>
        <v>1</v>
      </c>
    </row>
    <row r="37" spans="1:9" x14ac:dyDescent="0.35">
      <c r="A37" s="19">
        <v>48</v>
      </c>
      <c r="B37" s="19">
        <v>50</v>
      </c>
      <c r="C37" s="19">
        <v>-1</v>
      </c>
      <c r="D37" s="23">
        <f>ModelParameter!$B$2*Iterasi1!A37+ModelParameter!$B$3+ModelParameter!$B$4</f>
        <v>0</v>
      </c>
      <c r="E37" s="23">
        <f t="shared" si="0"/>
        <v>0</v>
      </c>
      <c r="F37" s="20">
        <f t="shared" si="1"/>
        <v>1</v>
      </c>
      <c r="G37" s="29">
        <f>2*ModelParameter!$B$6*ModelParameter!$B$2-Iterasi1!C37*Iterasi1!A37</f>
        <v>48</v>
      </c>
      <c r="H37" s="29">
        <f>2*ModelParameter!$B$6*ModelParameter!$B$3-Iterasi1!C37*Iterasi1!B37</f>
        <v>50</v>
      </c>
      <c r="I37" s="29">
        <f t="shared" si="2"/>
        <v>-1</v>
      </c>
    </row>
    <row r="38" spans="1:9" x14ac:dyDescent="0.35">
      <c r="A38" s="19">
        <v>52</v>
      </c>
      <c r="B38" s="19">
        <v>54</v>
      </c>
      <c r="C38" s="19">
        <v>-1</v>
      </c>
      <c r="D38" s="23">
        <f>ModelParameter!$B$2*Iterasi1!A38+ModelParameter!$B$3+ModelParameter!$B$4</f>
        <v>0</v>
      </c>
      <c r="E38" s="23">
        <f t="shared" si="0"/>
        <v>0</v>
      </c>
      <c r="F38" s="20">
        <f t="shared" si="1"/>
        <v>1</v>
      </c>
      <c r="G38" s="29">
        <f>2*ModelParameter!$B$6*ModelParameter!$B$2-Iterasi1!C38*Iterasi1!A38</f>
        <v>52</v>
      </c>
      <c r="H38" s="29">
        <f>2*ModelParameter!$B$6*ModelParameter!$B$3-Iterasi1!C38*Iterasi1!B38</f>
        <v>54</v>
      </c>
      <c r="I38" s="29">
        <f t="shared" si="2"/>
        <v>-1</v>
      </c>
    </row>
    <row r="39" spans="1:9" x14ac:dyDescent="0.35">
      <c r="A39" s="19">
        <v>56</v>
      </c>
      <c r="B39" s="19">
        <v>57</v>
      </c>
      <c r="C39" s="19">
        <v>-1</v>
      </c>
      <c r="D39" s="23">
        <f>ModelParameter!$B$2*Iterasi1!A39+ModelParameter!$B$3+ModelParameter!$B$4</f>
        <v>0</v>
      </c>
      <c r="E39" s="23">
        <f t="shared" si="0"/>
        <v>0</v>
      </c>
      <c r="F39" s="20">
        <f t="shared" si="1"/>
        <v>1</v>
      </c>
      <c r="G39" s="29">
        <f>2*ModelParameter!$B$6*ModelParameter!$B$2-Iterasi1!C39*Iterasi1!A39</f>
        <v>56</v>
      </c>
      <c r="H39" s="29">
        <f>2*ModelParameter!$B$6*ModelParameter!$B$3-Iterasi1!C39*Iterasi1!B39</f>
        <v>57</v>
      </c>
      <c r="I39" s="29">
        <f t="shared" si="2"/>
        <v>-1</v>
      </c>
    </row>
    <row r="40" spans="1:9" x14ac:dyDescent="0.35">
      <c r="A40" s="19">
        <v>63</v>
      </c>
      <c r="B40" s="19">
        <v>60</v>
      </c>
      <c r="C40" s="19">
        <v>-1</v>
      </c>
      <c r="D40" s="23">
        <f>ModelParameter!$B$2*Iterasi1!A40+ModelParameter!$B$3+ModelParameter!$B$4</f>
        <v>0</v>
      </c>
      <c r="E40" s="23">
        <f t="shared" si="0"/>
        <v>0</v>
      </c>
      <c r="F40" s="20">
        <f t="shared" si="1"/>
        <v>1</v>
      </c>
      <c r="G40" s="29">
        <f>2*ModelParameter!$B$6*ModelParameter!$B$2-Iterasi1!C40*Iterasi1!A40</f>
        <v>63</v>
      </c>
      <c r="H40" s="29">
        <f>2*ModelParameter!$B$6*ModelParameter!$B$3-Iterasi1!C40*Iterasi1!B40</f>
        <v>60</v>
      </c>
      <c r="I40" s="29">
        <f t="shared" si="2"/>
        <v>-1</v>
      </c>
    </row>
    <row r="41" spans="1:9" x14ac:dyDescent="0.35">
      <c r="A41" s="19">
        <v>66</v>
      </c>
      <c r="B41" s="19">
        <v>68</v>
      </c>
      <c r="C41" s="19">
        <v>1</v>
      </c>
      <c r="D41" s="23">
        <f>ModelParameter!$B$2*Iterasi1!A41+ModelParameter!$B$3+ModelParameter!$B$4</f>
        <v>0</v>
      </c>
      <c r="E41" s="23">
        <f t="shared" si="0"/>
        <v>0</v>
      </c>
      <c r="F41" s="20">
        <f t="shared" si="1"/>
        <v>1</v>
      </c>
      <c r="G41" s="29">
        <f>2*ModelParameter!$B$6*ModelParameter!$B$2-Iterasi1!C41*Iterasi1!A41</f>
        <v>-66</v>
      </c>
      <c r="H41" s="29">
        <f>2*ModelParameter!$B$6*ModelParameter!$B$3-Iterasi1!C41*Iterasi1!B41</f>
        <v>-68</v>
      </c>
      <c r="I41" s="29">
        <f t="shared" si="2"/>
        <v>1</v>
      </c>
    </row>
    <row r="42" spans="1:9" x14ac:dyDescent="0.35">
      <c r="A42" s="19">
        <v>69</v>
      </c>
      <c r="B42" s="19">
        <v>71</v>
      </c>
      <c r="C42" s="19">
        <v>1</v>
      </c>
      <c r="D42" s="23">
        <f>ModelParameter!$B$2*Iterasi1!A42+ModelParameter!$B$3+ModelParameter!$B$4</f>
        <v>0</v>
      </c>
      <c r="E42" s="23">
        <f t="shared" si="0"/>
        <v>0</v>
      </c>
      <c r="F42" s="20">
        <f t="shared" si="1"/>
        <v>1</v>
      </c>
      <c r="G42" s="29">
        <f>2*ModelParameter!$B$6*ModelParameter!$B$2-Iterasi1!C42*Iterasi1!A42</f>
        <v>-69</v>
      </c>
      <c r="H42" s="29">
        <f>2*ModelParameter!$B$6*ModelParameter!$B$3-Iterasi1!C42*Iterasi1!B42</f>
        <v>-71</v>
      </c>
      <c r="I42" s="29">
        <f t="shared" si="2"/>
        <v>1</v>
      </c>
    </row>
    <row r="43" spans="1:9" x14ac:dyDescent="0.35">
      <c r="A43" s="19">
        <v>71</v>
      </c>
      <c r="B43" s="19">
        <v>74</v>
      </c>
      <c r="C43" s="19">
        <v>1</v>
      </c>
      <c r="D43" s="23">
        <f>ModelParameter!$B$2*Iterasi1!A43+ModelParameter!$B$3+ModelParameter!$B$4</f>
        <v>0</v>
      </c>
      <c r="E43" s="23">
        <f t="shared" si="0"/>
        <v>0</v>
      </c>
      <c r="F43" s="20">
        <f t="shared" si="1"/>
        <v>1</v>
      </c>
      <c r="G43" s="29">
        <f>2*ModelParameter!$B$6*ModelParameter!$B$2-Iterasi1!C43*Iterasi1!A43</f>
        <v>-71</v>
      </c>
      <c r="H43" s="29">
        <f>2*ModelParameter!$B$6*ModelParameter!$B$3-Iterasi1!C43*Iterasi1!B43</f>
        <v>-74</v>
      </c>
      <c r="I43" s="29">
        <f t="shared" si="2"/>
        <v>1</v>
      </c>
    </row>
    <row r="44" spans="1:9" x14ac:dyDescent="0.35">
      <c r="A44" s="19">
        <v>54</v>
      </c>
      <c r="B44" s="19">
        <v>56</v>
      </c>
      <c r="C44" s="19">
        <v>-1</v>
      </c>
      <c r="D44" s="23">
        <f>ModelParameter!$B$2*Iterasi1!A44+ModelParameter!$B$3+ModelParameter!$B$4</f>
        <v>0</v>
      </c>
      <c r="E44" s="23">
        <f t="shared" si="0"/>
        <v>0</v>
      </c>
      <c r="F44" s="20">
        <f t="shared" si="1"/>
        <v>1</v>
      </c>
      <c r="G44" s="29">
        <f>2*ModelParameter!$B$6*ModelParameter!$B$2-Iterasi1!C44*Iterasi1!A44</f>
        <v>54</v>
      </c>
      <c r="H44" s="29">
        <f>2*ModelParameter!$B$6*ModelParameter!$B$3-Iterasi1!C44*Iterasi1!B44</f>
        <v>56</v>
      </c>
      <c r="I44" s="29">
        <f t="shared" si="2"/>
        <v>-1</v>
      </c>
    </row>
    <row r="45" spans="1:9" x14ac:dyDescent="0.35">
      <c r="A45" s="19">
        <v>47</v>
      </c>
      <c r="B45" s="19">
        <v>49</v>
      </c>
      <c r="C45" s="19">
        <v>-1</v>
      </c>
      <c r="D45" s="23">
        <f>ModelParameter!$B$2*Iterasi1!A45+ModelParameter!$B$3+ModelParameter!$B$4</f>
        <v>0</v>
      </c>
      <c r="E45" s="23">
        <f t="shared" si="0"/>
        <v>0</v>
      </c>
      <c r="F45" s="20">
        <f t="shared" si="1"/>
        <v>1</v>
      </c>
      <c r="G45" s="29">
        <f>2*ModelParameter!$B$6*ModelParameter!$B$2-Iterasi1!C45*Iterasi1!A45</f>
        <v>47</v>
      </c>
      <c r="H45" s="29">
        <f>2*ModelParameter!$B$6*ModelParameter!$B$3-Iterasi1!C45*Iterasi1!B45</f>
        <v>49</v>
      </c>
      <c r="I45" s="29">
        <f t="shared" si="2"/>
        <v>-1</v>
      </c>
    </row>
    <row r="46" spans="1:9" x14ac:dyDescent="0.35">
      <c r="A46" s="19">
        <v>51</v>
      </c>
      <c r="B46" s="19">
        <v>53</v>
      </c>
      <c r="C46" s="19">
        <v>-1</v>
      </c>
      <c r="D46" s="23">
        <f>ModelParameter!$B$2*Iterasi1!A46+ModelParameter!$B$3+ModelParameter!$B$4</f>
        <v>0</v>
      </c>
      <c r="E46" s="23">
        <f t="shared" si="0"/>
        <v>0</v>
      </c>
      <c r="F46" s="20">
        <f t="shared" si="1"/>
        <v>1</v>
      </c>
      <c r="G46" s="29">
        <f>2*ModelParameter!$B$6*ModelParameter!$B$2-Iterasi1!C46*Iterasi1!A46</f>
        <v>51</v>
      </c>
      <c r="H46" s="29">
        <f>2*ModelParameter!$B$6*ModelParameter!$B$3-Iterasi1!C46*Iterasi1!B46</f>
        <v>53</v>
      </c>
      <c r="I46" s="29">
        <f t="shared" si="2"/>
        <v>-1</v>
      </c>
    </row>
    <row r="47" spans="1:9" x14ac:dyDescent="0.35">
      <c r="A47" s="19">
        <v>80</v>
      </c>
      <c r="B47" s="19">
        <v>78</v>
      </c>
      <c r="C47" s="19">
        <v>1</v>
      </c>
      <c r="D47" s="23">
        <f>ModelParameter!$B$2*Iterasi1!A47+ModelParameter!$B$3+ModelParameter!$B$4</f>
        <v>0</v>
      </c>
      <c r="E47" s="23">
        <f t="shared" si="0"/>
        <v>0</v>
      </c>
      <c r="F47" s="20">
        <f t="shared" si="1"/>
        <v>1</v>
      </c>
      <c r="G47" s="29">
        <f>2*ModelParameter!$B$6*ModelParameter!$B$2-Iterasi1!C47*Iterasi1!A47</f>
        <v>-80</v>
      </c>
      <c r="H47" s="29">
        <f>2*ModelParameter!$B$6*ModelParameter!$B$3-Iterasi1!C47*Iterasi1!B47</f>
        <v>-78</v>
      </c>
      <c r="I47" s="29">
        <f t="shared" si="2"/>
        <v>1</v>
      </c>
    </row>
    <row r="48" spans="1:9" x14ac:dyDescent="0.35">
      <c r="A48" s="19">
        <v>85</v>
      </c>
      <c r="B48" s="19">
        <v>83</v>
      </c>
      <c r="C48" s="19">
        <v>1</v>
      </c>
      <c r="D48" s="23">
        <f>ModelParameter!$B$2*Iterasi1!A48+ModelParameter!$B$3+ModelParameter!$B$4</f>
        <v>0</v>
      </c>
      <c r="E48" s="23">
        <f t="shared" si="0"/>
        <v>0</v>
      </c>
      <c r="F48" s="20">
        <f t="shared" si="1"/>
        <v>1</v>
      </c>
      <c r="G48" s="29">
        <f>2*ModelParameter!$B$6*ModelParameter!$B$2-Iterasi1!C48*Iterasi1!A48</f>
        <v>-85</v>
      </c>
      <c r="H48" s="29">
        <f>2*ModelParameter!$B$6*ModelParameter!$B$3-Iterasi1!C48*Iterasi1!B48</f>
        <v>-83</v>
      </c>
      <c r="I48" s="29">
        <f t="shared" si="2"/>
        <v>1</v>
      </c>
    </row>
    <row r="49" spans="1:9" x14ac:dyDescent="0.35">
      <c r="A49" s="19">
        <v>58</v>
      </c>
      <c r="B49" s="19">
        <v>61</v>
      </c>
      <c r="C49" s="19">
        <v>-1</v>
      </c>
      <c r="D49" s="23">
        <f>ModelParameter!$B$2*Iterasi1!A49+ModelParameter!$B$3+ModelParameter!$B$4</f>
        <v>0</v>
      </c>
      <c r="E49" s="23">
        <f t="shared" si="0"/>
        <v>0</v>
      </c>
      <c r="F49" s="20">
        <f t="shared" si="1"/>
        <v>1</v>
      </c>
      <c r="G49" s="29">
        <f>2*ModelParameter!$B$6*ModelParameter!$B$2-Iterasi1!C49*Iterasi1!A49</f>
        <v>58</v>
      </c>
      <c r="H49" s="29">
        <f>2*ModelParameter!$B$6*ModelParameter!$B$3-Iterasi1!C49*Iterasi1!B49</f>
        <v>61</v>
      </c>
      <c r="I49" s="29">
        <f t="shared" si="2"/>
        <v>-1</v>
      </c>
    </row>
    <row r="50" spans="1:9" x14ac:dyDescent="0.35">
      <c r="A50" s="19">
        <v>62</v>
      </c>
      <c r="B50" s="19">
        <v>64</v>
      </c>
      <c r="C50" s="19">
        <v>-1</v>
      </c>
      <c r="D50" s="23">
        <f>ModelParameter!$B$2*Iterasi1!A50+ModelParameter!$B$3+ModelParameter!$B$4</f>
        <v>0</v>
      </c>
      <c r="E50" s="23">
        <f t="shared" si="0"/>
        <v>0</v>
      </c>
      <c r="F50" s="20">
        <f t="shared" si="1"/>
        <v>1</v>
      </c>
      <c r="G50" s="29">
        <f>2*ModelParameter!$B$6*ModelParameter!$B$2-Iterasi1!C50*Iterasi1!A50</f>
        <v>62</v>
      </c>
      <c r="H50" s="29">
        <f>2*ModelParameter!$B$6*ModelParameter!$B$3-Iterasi1!C50*Iterasi1!B50</f>
        <v>64</v>
      </c>
      <c r="I50" s="29">
        <f t="shared" si="2"/>
        <v>-1</v>
      </c>
    </row>
    <row r="51" spans="1:9" x14ac:dyDescent="0.35">
      <c r="A51" s="19">
        <v>90</v>
      </c>
      <c r="B51" s="19">
        <v>92</v>
      </c>
      <c r="C51" s="19">
        <v>1</v>
      </c>
      <c r="D51" s="23">
        <f>ModelParameter!$B$2*Iterasi1!A51+ModelParameter!$B$3+ModelParameter!$B$4</f>
        <v>0</v>
      </c>
      <c r="E51" s="23">
        <f t="shared" si="0"/>
        <v>0</v>
      </c>
      <c r="F51" s="20">
        <f t="shared" si="1"/>
        <v>1</v>
      </c>
      <c r="G51" s="29">
        <f>2*ModelParameter!$B$6*ModelParameter!$B$2-Iterasi1!C51*Iterasi1!A51</f>
        <v>-90</v>
      </c>
      <c r="H51" s="29">
        <f>2*ModelParameter!$B$6*ModelParameter!$B$3-Iterasi1!C51*Iterasi1!B51</f>
        <v>-92</v>
      </c>
      <c r="I51" s="29">
        <f t="shared" si="2"/>
        <v>1</v>
      </c>
    </row>
    <row r="52" spans="1:9" x14ac:dyDescent="0.35">
      <c r="A52" s="21"/>
      <c r="B52" s="21"/>
      <c r="C52" s="21"/>
      <c r="D52" s="21"/>
      <c r="E52" s="21"/>
      <c r="F52" s="21"/>
      <c r="G52" s="3"/>
      <c r="H52" s="3"/>
      <c r="I5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D79-E63F-49EE-BD5D-076D0A4EB23B}">
  <dimension ref="A1:I51"/>
  <sheetViews>
    <sheetView zoomScale="68" workbookViewId="0">
      <selection activeCell="L15" sqref="L15"/>
    </sheetView>
  </sheetViews>
  <sheetFormatPr defaultRowHeight="14.5" x14ac:dyDescent="0.35"/>
  <sheetData>
    <row r="1" spans="1:9" x14ac:dyDescent="0.35">
      <c r="A1" s="22" t="s">
        <v>0</v>
      </c>
      <c r="B1" s="22" t="s">
        <v>1</v>
      </c>
      <c r="C1" s="22" t="s">
        <v>2</v>
      </c>
      <c r="D1" s="24" t="s">
        <v>3</v>
      </c>
      <c r="E1" s="24" t="s">
        <v>4</v>
      </c>
      <c r="F1" s="25" t="s">
        <v>5</v>
      </c>
      <c r="G1" s="27" t="s">
        <v>6</v>
      </c>
      <c r="H1" s="27" t="s">
        <v>7</v>
      </c>
      <c r="I1" s="27" t="s">
        <v>8</v>
      </c>
    </row>
    <row r="2" spans="1:9" x14ac:dyDescent="0.35">
      <c r="A2" s="19">
        <v>85</v>
      </c>
      <c r="B2" s="19">
        <v>88</v>
      </c>
      <c r="C2" s="19">
        <v>1</v>
      </c>
      <c r="D2" s="23">
        <f>ModelParameter!$F$2*Iterasi2!A2+ModelParameter!$F$3*Iterasi2!B2+ModelParameter!$F$4</f>
        <v>12.0213</v>
      </c>
      <c r="E2" s="23">
        <f>C2*D2</f>
        <v>12.0213</v>
      </c>
      <c r="F2" s="20">
        <f>MAX(0,1-E2)</f>
        <v>0</v>
      </c>
      <c r="G2" s="29">
        <f>IF(E2&gt;1, 0, -C2*A2)</f>
        <v>0</v>
      </c>
      <c r="H2" s="29">
        <f>IF(E2&gt;=1, 0, -C2*B2)</f>
        <v>0</v>
      </c>
      <c r="I2" s="29">
        <f>IF(E2&gt;=1, 0, -C2)</f>
        <v>0</v>
      </c>
    </row>
    <row r="3" spans="1:9" x14ac:dyDescent="0.35">
      <c r="A3" s="19">
        <v>78</v>
      </c>
      <c r="B3" s="19">
        <v>82</v>
      </c>
      <c r="C3" s="19">
        <v>1</v>
      </c>
      <c r="D3" s="23">
        <f>ModelParameter!$F$2*Iterasi2!A3+ModelParameter!$F$3*Iterasi2!B3+ModelParameter!$F$4</f>
        <v>11.117000000000001</v>
      </c>
      <c r="E3" s="23">
        <f t="shared" ref="E3:E51" si="0">C3*D3</f>
        <v>11.117000000000001</v>
      </c>
      <c r="F3" s="20">
        <f t="shared" ref="F3:F51" si="1">MAX(0,1-E3)</f>
        <v>0</v>
      </c>
      <c r="G3" s="29">
        <f t="shared" ref="G3:G51" si="2">IF(E3&gt;1, 0, -C3*A3)</f>
        <v>0</v>
      </c>
      <c r="H3" s="29">
        <f t="shared" ref="H3:H51" si="3">IF(E3&gt;=1, 0, -C3*B3)</f>
        <v>0</v>
      </c>
      <c r="I3" s="29">
        <f t="shared" ref="I3:I51" si="4">IF(E3&gt;=1, 0, -C3)</f>
        <v>0</v>
      </c>
    </row>
    <row r="4" spans="1:9" x14ac:dyDescent="0.35">
      <c r="A4" s="19">
        <v>90</v>
      </c>
      <c r="B4" s="19">
        <v>91</v>
      </c>
      <c r="C4" s="19">
        <v>1</v>
      </c>
      <c r="D4" s="23">
        <f>ModelParameter!$F$2*Iterasi2!A4+ModelParameter!$F$3*Iterasi2!B4+ModelParameter!$F$4</f>
        <v>12.578899999999999</v>
      </c>
      <c r="E4" s="23">
        <f t="shared" si="0"/>
        <v>12.578899999999999</v>
      </c>
      <c r="F4" s="20">
        <f t="shared" si="1"/>
        <v>0</v>
      </c>
      <c r="G4" s="29">
        <f t="shared" si="2"/>
        <v>0</v>
      </c>
      <c r="H4" s="29">
        <f t="shared" si="3"/>
        <v>0</v>
      </c>
      <c r="I4" s="29">
        <f t="shared" si="4"/>
        <v>0</v>
      </c>
    </row>
    <row r="5" spans="1:9" x14ac:dyDescent="0.35">
      <c r="A5" s="19">
        <v>70</v>
      </c>
      <c r="B5" s="19">
        <v>75</v>
      </c>
      <c r="C5" s="19">
        <v>1</v>
      </c>
      <c r="D5" s="23">
        <f>ModelParameter!$F$2*Iterasi2!A5+ModelParameter!$F$3*Iterasi2!B5+ModelParameter!$F$4</f>
        <v>10.073699999999999</v>
      </c>
      <c r="E5" s="23">
        <f t="shared" si="0"/>
        <v>10.073699999999999</v>
      </c>
      <c r="F5" s="20">
        <f t="shared" si="1"/>
        <v>0</v>
      </c>
      <c r="G5" s="29">
        <f t="shared" si="2"/>
        <v>0</v>
      </c>
      <c r="H5" s="29">
        <f t="shared" si="3"/>
        <v>0</v>
      </c>
      <c r="I5" s="29">
        <f t="shared" si="4"/>
        <v>0</v>
      </c>
    </row>
    <row r="6" spans="1:9" x14ac:dyDescent="0.35">
      <c r="A6" s="19">
        <v>88</v>
      </c>
      <c r="B6" s="19">
        <v>84</v>
      </c>
      <c r="C6" s="19">
        <v>1</v>
      </c>
      <c r="D6" s="23">
        <f>ModelParameter!$F$2*Iterasi2!A6+ModelParameter!$F$3*Iterasi2!B6+ModelParameter!$F$4</f>
        <v>11.9574</v>
      </c>
      <c r="E6" s="23">
        <f t="shared" si="0"/>
        <v>11.9574</v>
      </c>
      <c r="F6" s="20">
        <f t="shared" si="1"/>
        <v>0</v>
      </c>
      <c r="G6" s="29">
        <f t="shared" si="2"/>
        <v>0</v>
      </c>
      <c r="H6" s="29">
        <f t="shared" si="3"/>
        <v>0</v>
      </c>
      <c r="I6" s="29">
        <f t="shared" si="4"/>
        <v>0</v>
      </c>
    </row>
    <row r="7" spans="1:9" x14ac:dyDescent="0.35">
      <c r="A7" s="19">
        <v>92</v>
      </c>
      <c r="B7" s="19">
        <v>89</v>
      </c>
      <c r="C7" s="19">
        <v>1</v>
      </c>
      <c r="D7" s="23">
        <f>ModelParameter!$F$2*Iterasi2!A7+ModelParameter!$F$3*Iterasi2!B7+ModelParameter!$F$4</f>
        <v>12.582100000000001</v>
      </c>
      <c r="E7" s="23">
        <f t="shared" si="0"/>
        <v>12.582100000000001</v>
      </c>
      <c r="F7" s="20">
        <f t="shared" si="1"/>
        <v>0</v>
      </c>
      <c r="G7" s="29">
        <f t="shared" si="2"/>
        <v>0</v>
      </c>
      <c r="H7" s="29">
        <f t="shared" si="3"/>
        <v>0</v>
      </c>
      <c r="I7" s="29">
        <f t="shared" si="4"/>
        <v>0</v>
      </c>
    </row>
    <row r="8" spans="1:9" x14ac:dyDescent="0.35">
      <c r="A8" s="19">
        <v>76</v>
      </c>
      <c r="B8" s="19">
        <v>80</v>
      </c>
      <c r="C8" s="19">
        <v>1</v>
      </c>
      <c r="D8" s="23">
        <f>ModelParameter!$F$2*Iterasi2!A8+ModelParameter!$F$3*Iterasi2!B8+ModelParameter!$F$4</f>
        <v>10.838999999999999</v>
      </c>
      <c r="E8" s="23">
        <f t="shared" si="0"/>
        <v>10.838999999999999</v>
      </c>
      <c r="F8" s="20">
        <f t="shared" si="1"/>
        <v>0</v>
      </c>
      <c r="G8" s="29">
        <f t="shared" si="2"/>
        <v>0</v>
      </c>
      <c r="H8" s="29">
        <f t="shared" si="3"/>
        <v>0</v>
      </c>
      <c r="I8" s="29">
        <f t="shared" si="4"/>
        <v>0</v>
      </c>
    </row>
    <row r="9" spans="1:9" x14ac:dyDescent="0.35">
      <c r="A9" s="19">
        <v>83</v>
      </c>
      <c r="B9" s="19">
        <v>79</v>
      </c>
      <c r="C9" s="19">
        <v>1</v>
      </c>
      <c r="D9" s="23">
        <f>ModelParameter!$F$2*Iterasi2!A9+ModelParameter!$F$3*Iterasi2!B9+ModelParameter!$F$4</f>
        <v>11.2624</v>
      </c>
      <c r="E9" s="23">
        <f t="shared" si="0"/>
        <v>11.2624</v>
      </c>
      <c r="F9" s="20">
        <f t="shared" si="1"/>
        <v>0</v>
      </c>
      <c r="G9" s="29">
        <f t="shared" si="2"/>
        <v>0</v>
      </c>
      <c r="H9" s="29">
        <f t="shared" si="3"/>
        <v>0</v>
      </c>
      <c r="I9" s="29">
        <f t="shared" si="4"/>
        <v>0</v>
      </c>
    </row>
    <row r="10" spans="1:9" x14ac:dyDescent="0.35">
      <c r="A10" s="19">
        <v>87</v>
      </c>
      <c r="B10" s="19">
        <v>90</v>
      </c>
      <c r="C10" s="19">
        <v>1</v>
      </c>
      <c r="D10" s="23">
        <f>ModelParameter!$F$2*Iterasi2!A10+ModelParameter!$F$3*Iterasi2!B10+ModelParameter!$F$4</f>
        <v>12.299299999999999</v>
      </c>
      <c r="E10" s="23">
        <f t="shared" si="0"/>
        <v>12.299299999999999</v>
      </c>
      <c r="F10" s="20">
        <f t="shared" si="1"/>
        <v>0</v>
      </c>
      <c r="G10" s="29">
        <f t="shared" si="2"/>
        <v>0</v>
      </c>
      <c r="H10" s="29">
        <f t="shared" si="3"/>
        <v>0</v>
      </c>
      <c r="I10" s="29">
        <f t="shared" si="4"/>
        <v>0</v>
      </c>
    </row>
    <row r="11" spans="1:9" x14ac:dyDescent="0.35">
      <c r="A11" s="19">
        <v>80</v>
      </c>
      <c r="B11" s="19">
        <v>85</v>
      </c>
      <c r="C11" s="19">
        <v>1</v>
      </c>
      <c r="D11" s="23">
        <f>ModelParameter!$F$2*Iterasi2!A11+ModelParameter!$F$3*Iterasi2!B11+ModelParameter!$F$4</f>
        <v>11.463699999999999</v>
      </c>
      <c r="E11" s="23">
        <f t="shared" si="0"/>
        <v>11.463699999999999</v>
      </c>
      <c r="F11" s="20">
        <f t="shared" si="1"/>
        <v>0</v>
      </c>
      <c r="G11" s="29">
        <f t="shared" si="2"/>
        <v>0</v>
      </c>
      <c r="H11" s="29">
        <f t="shared" si="3"/>
        <v>0</v>
      </c>
      <c r="I11" s="29">
        <f t="shared" si="4"/>
        <v>0</v>
      </c>
    </row>
    <row r="12" spans="1:9" x14ac:dyDescent="0.35">
      <c r="A12" s="19">
        <v>74</v>
      </c>
      <c r="B12" s="19">
        <v>78</v>
      </c>
      <c r="C12" s="19">
        <v>1</v>
      </c>
      <c r="D12" s="23">
        <f>ModelParameter!$F$2*Iterasi2!A12+ModelParameter!$F$3*Iterasi2!B12+ModelParameter!$F$4</f>
        <v>10.561</v>
      </c>
      <c r="E12" s="23">
        <f t="shared" si="0"/>
        <v>10.561</v>
      </c>
      <c r="F12" s="20">
        <f t="shared" si="1"/>
        <v>0</v>
      </c>
      <c r="G12" s="29">
        <f t="shared" si="2"/>
        <v>0</v>
      </c>
      <c r="H12" s="29">
        <f t="shared" si="3"/>
        <v>0</v>
      </c>
      <c r="I12" s="29">
        <f t="shared" si="4"/>
        <v>0</v>
      </c>
    </row>
    <row r="13" spans="1:9" x14ac:dyDescent="0.35">
      <c r="A13" s="19">
        <v>89</v>
      </c>
      <c r="B13" s="19">
        <v>86</v>
      </c>
      <c r="C13" s="19">
        <v>1</v>
      </c>
      <c r="D13" s="23">
        <f>ModelParameter!$F$2*Iterasi2!A13+ModelParameter!$F$3*Iterasi2!B13+ModelParameter!$F$4</f>
        <v>12.165099999999999</v>
      </c>
      <c r="E13" s="23">
        <f t="shared" si="0"/>
        <v>12.165099999999999</v>
      </c>
      <c r="F13" s="20">
        <f t="shared" si="1"/>
        <v>0</v>
      </c>
      <c r="G13" s="29">
        <f t="shared" si="2"/>
        <v>0</v>
      </c>
      <c r="H13" s="29">
        <f t="shared" si="3"/>
        <v>0</v>
      </c>
      <c r="I13" s="29">
        <f t="shared" si="4"/>
        <v>0</v>
      </c>
    </row>
    <row r="14" spans="1:9" x14ac:dyDescent="0.35">
      <c r="A14" s="19">
        <v>81</v>
      </c>
      <c r="B14" s="19">
        <v>83</v>
      </c>
      <c r="C14" s="19">
        <v>1</v>
      </c>
      <c r="D14" s="23">
        <f>ModelParameter!$F$2*Iterasi2!A14+ModelParameter!$F$3*Iterasi2!B14+ModelParameter!$F$4</f>
        <v>11.396599999999999</v>
      </c>
      <c r="E14" s="23">
        <f t="shared" si="0"/>
        <v>11.396599999999999</v>
      </c>
      <c r="F14" s="20">
        <f t="shared" si="1"/>
        <v>0</v>
      </c>
      <c r="G14" s="29">
        <f t="shared" si="2"/>
        <v>0</v>
      </c>
      <c r="H14" s="29">
        <f t="shared" si="3"/>
        <v>0</v>
      </c>
      <c r="I14" s="29">
        <f t="shared" si="4"/>
        <v>0</v>
      </c>
    </row>
    <row r="15" spans="1:9" x14ac:dyDescent="0.35">
      <c r="A15" s="19">
        <v>77</v>
      </c>
      <c r="B15" s="19">
        <v>76</v>
      </c>
      <c r="C15" s="19">
        <v>1</v>
      </c>
      <c r="D15" s="23">
        <f>ModelParameter!$F$2*Iterasi2!A15+ModelParameter!$F$3*Iterasi2!B15+ModelParameter!$F$4</f>
        <v>10.634499999999999</v>
      </c>
      <c r="E15" s="23">
        <f t="shared" si="0"/>
        <v>10.634499999999999</v>
      </c>
      <c r="F15" s="20">
        <f t="shared" si="1"/>
        <v>0</v>
      </c>
      <c r="G15" s="29">
        <f t="shared" si="2"/>
        <v>0</v>
      </c>
      <c r="H15" s="29">
        <f t="shared" si="3"/>
        <v>0</v>
      </c>
      <c r="I15" s="29">
        <f t="shared" si="4"/>
        <v>0</v>
      </c>
    </row>
    <row r="16" spans="1:9" x14ac:dyDescent="0.35">
      <c r="A16" s="19">
        <v>84</v>
      </c>
      <c r="B16" s="19">
        <v>88</v>
      </c>
      <c r="C16" s="19">
        <v>1</v>
      </c>
      <c r="D16" s="23">
        <f>ModelParameter!$F$2*Iterasi2!A16+ModelParameter!$F$3*Iterasi2!B16+ModelParameter!$F$4</f>
        <v>11.950999999999999</v>
      </c>
      <c r="E16" s="23">
        <f t="shared" si="0"/>
        <v>11.950999999999999</v>
      </c>
      <c r="F16" s="20">
        <f t="shared" si="1"/>
        <v>0</v>
      </c>
      <c r="G16" s="29">
        <f t="shared" si="2"/>
        <v>0</v>
      </c>
      <c r="H16" s="29">
        <f t="shared" si="3"/>
        <v>0</v>
      </c>
      <c r="I16" s="29">
        <f t="shared" si="4"/>
        <v>0</v>
      </c>
    </row>
    <row r="17" spans="1:9" x14ac:dyDescent="0.35">
      <c r="A17" s="19">
        <v>65</v>
      </c>
      <c r="B17" s="19">
        <v>70</v>
      </c>
      <c r="C17" s="19">
        <v>-1</v>
      </c>
      <c r="D17" s="23">
        <f>ModelParameter!$F$2*Iterasi2!A17+ModelParameter!$F$3*Iterasi2!B17+ModelParameter!$F$4</f>
        <v>9.3786999999999985</v>
      </c>
      <c r="E17" s="23">
        <f t="shared" si="0"/>
        <v>-9.3786999999999985</v>
      </c>
      <c r="F17" s="20">
        <f t="shared" si="1"/>
        <v>10.378699999999998</v>
      </c>
      <c r="G17" s="29">
        <f t="shared" si="2"/>
        <v>65</v>
      </c>
      <c r="H17" s="29">
        <f t="shared" si="3"/>
        <v>70</v>
      </c>
      <c r="I17" s="29">
        <f t="shared" si="4"/>
        <v>1</v>
      </c>
    </row>
    <row r="18" spans="1:9" x14ac:dyDescent="0.35">
      <c r="A18" s="19">
        <v>60</v>
      </c>
      <c r="B18" s="19">
        <v>68</v>
      </c>
      <c r="C18" s="19">
        <v>-1</v>
      </c>
      <c r="D18" s="23">
        <f>ModelParameter!$F$2*Iterasi2!A18+ModelParameter!$F$3*Iterasi2!B18+ModelParameter!$F$4</f>
        <v>8.8897999999999993</v>
      </c>
      <c r="E18" s="23">
        <f t="shared" si="0"/>
        <v>-8.8897999999999993</v>
      </c>
      <c r="F18" s="20">
        <f t="shared" si="1"/>
        <v>9.8897999999999993</v>
      </c>
      <c r="G18" s="29">
        <f t="shared" si="2"/>
        <v>60</v>
      </c>
      <c r="H18" s="29">
        <f t="shared" si="3"/>
        <v>68</v>
      </c>
      <c r="I18" s="29">
        <f t="shared" si="4"/>
        <v>1</v>
      </c>
    </row>
    <row r="19" spans="1:9" x14ac:dyDescent="0.35">
      <c r="A19" s="19">
        <v>55</v>
      </c>
      <c r="B19" s="19">
        <v>62</v>
      </c>
      <c r="C19" s="19">
        <v>-1</v>
      </c>
      <c r="D19" s="23">
        <f>ModelParameter!$F$2*Iterasi2!A19+ModelParameter!$F$3*Iterasi2!B19+ModelParameter!$F$4</f>
        <v>8.1260999999999992</v>
      </c>
      <c r="E19" s="23">
        <f t="shared" si="0"/>
        <v>-8.1260999999999992</v>
      </c>
      <c r="F19" s="20">
        <f t="shared" si="1"/>
        <v>9.1260999999999992</v>
      </c>
      <c r="G19" s="29">
        <f t="shared" si="2"/>
        <v>55</v>
      </c>
      <c r="H19" s="29">
        <f t="shared" si="3"/>
        <v>62</v>
      </c>
      <c r="I19" s="29">
        <f t="shared" si="4"/>
        <v>1</v>
      </c>
    </row>
    <row r="20" spans="1:9" x14ac:dyDescent="0.35">
      <c r="A20" s="19">
        <v>72</v>
      </c>
      <c r="B20" s="19">
        <v>65</v>
      </c>
      <c r="C20" s="19">
        <v>-1</v>
      </c>
      <c r="D20" s="23">
        <f>ModelParameter!$F$2*Iterasi2!A20+ModelParameter!$F$3*Iterasi2!B20+ModelParameter!$F$4</f>
        <v>9.5273000000000003</v>
      </c>
      <c r="E20" s="23">
        <f t="shared" si="0"/>
        <v>-9.5273000000000003</v>
      </c>
      <c r="F20" s="20">
        <f t="shared" si="1"/>
        <v>10.5273</v>
      </c>
      <c r="G20" s="29">
        <f t="shared" si="2"/>
        <v>72</v>
      </c>
      <c r="H20" s="29">
        <f t="shared" si="3"/>
        <v>65</v>
      </c>
      <c r="I20" s="29">
        <f t="shared" si="4"/>
        <v>1</v>
      </c>
    </row>
    <row r="21" spans="1:9" x14ac:dyDescent="0.35">
      <c r="A21" s="19">
        <v>58</v>
      </c>
      <c r="B21" s="19">
        <v>60</v>
      </c>
      <c r="C21" s="19">
        <v>-1</v>
      </c>
      <c r="D21" s="23">
        <f>ModelParameter!$F$2*Iterasi2!A21+ModelParameter!$F$3*Iterasi2!B21+ModelParameter!$F$4</f>
        <v>8.1996000000000002</v>
      </c>
      <c r="E21" s="23">
        <f t="shared" si="0"/>
        <v>-8.1996000000000002</v>
      </c>
      <c r="F21" s="20">
        <f t="shared" si="1"/>
        <v>9.1996000000000002</v>
      </c>
      <c r="G21" s="29">
        <f t="shared" si="2"/>
        <v>58</v>
      </c>
      <c r="H21" s="29">
        <f t="shared" si="3"/>
        <v>60</v>
      </c>
      <c r="I21" s="29">
        <f t="shared" si="4"/>
        <v>1</v>
      </c>
    </row>
    <row r="22" spans="1:9" x14ac:dyDescent="0.35">
      <c r="A22" s="19">
        <v>62</v>
      </c>
      <c r="B22" s="19">
        <v>66</v>
      </c>
      <c r="C22" s="19">
        <v>-1</v>
      </c>
      <c r="D22" s="23">
        <f>ModelParameter!$F$2*Iterasi2!A22+ModelParameter!$F$3*Iterasi2!B22+ModelParameter!$F$4</f>
        <v>8.8930000000000007</v>
      </c>
      <c r="E22" s="23">
        <f t="shared" si="0"/>
        <v>-8.8930000000000007</v>
      </c>
      <c r="F22" s="20">
        <f t="shared" si="1"/>
        <v>9.8930000000000007</v>
      </c>
      <c r="G22" s="29">
        <f t="shared" si="2"/>
        <v>62</v>
      </c>
      <c r="H22" s="29">
        <f t="shared" si="3"/>
        <v>66</v>
      </c>
      <c r="I22" s="29">
        <f t="shared" si="4"/>
        <v>1</v>
      </c>
    </row>
    <row r="23" spans="1:9" x14ac:dyDescent="0.35">
      <c r="A23" s="19">
        <v>67</v>
      </c>
      <c r="B23" s="19">
        <v>69</v>
      </c>
      <c r="C23" s="19">
        <v>-1</v>
      </c>
      <c r="D23" s="23">
        <f>ModelParameter!$F$2*Iterasi2!A23+ModelParameter!$F$3*Iterasi2!B23+ModelParameter!$F$4</f>
        <v>9.4505999999999979</v>
      </c>
      <c r="E23" s="23">
        <f t="shared" si="0"/>
        <v>-9.4505999999999979</v>
      </c>
      <c r="F23" s="20">
        <f t="shared" si="1"/>
        <v>10.450599999999998</v>
      </c>
      <c r="G23" s="29">
        <f t="shared" si="2"/>
        <v>67</v>
      </c>
      <c r="H23" s="29">
        <f t="shared" si="3"/>
        <v>69</v>
      </c>
      <c r="I23" s="29">
        <f t="shared" si="4"/>
        <v>1</v>
      </c>
    </row>
    <row r="24" spans="1:9" x14ac:dyDescent="0.35">
      <c r="A24" s="19">
        <v>50</v>
      </c>
      <c r="B24" s="19">
        <v>55</v>
      </c>
      <c r="C24" s="19">
        <v>-1</v>
      </c>
      <c r="D24" s="23">
        <f>ModelParameter!$F$2*Iterasi2!A24+ModelParameter!$F$3*Iterasi2!B24+ModelParameter!$F$4</f>
        <v>7.2937000000000003</v>
      </c>
      <c r="E24" s="23">
        <f t="shared" si="0"/>
        <v>-7.2937000000000003</v>
      </c>
      <c r="F24" s="20">
        <f t="shared" si="1"/>
        <v>8.2937000000000012</v>
      </c>
      <c r="G24" s="29">
        <f t="shared" si="2"/>
        <v>50</v>
      </c>
      <c r="H24" s="29">
        <f t="shared" si="3"/>
        <v>55</v>
      </c>
      <c r="I24" s="29">
        <f t="shared" si="4"/>
        <v>1</v>
      </c>
    </row>
    <row r="25" spans="1:9" x14ac:dyDescent="0.35">
      <c r="A25" s="19">
        <v>45</v>
      </c>
      <c r="B25" s="19">
        <v>52</v>
      </c>
      <c r="C25" s="19">
        <v>-1</v>
      </c>
      <c r="D25" s="23">
        <f>ModelParameter!$F$2*Iterasi2!A25+ModelParameter!$F$3*Iterasi2!B25+ModelParameter!$F$4</f>
        <v>6.7361000000000004</v>
      </c>
      <c r="E25" s="23">
        <f t="shared" si="0"/>
        <v>-6.7361000000000004</v>
      </c>
      <c r="F25" s="20">
        <f t="shared" si="1"/>
        <v>7.7361000000000004</v>
      </c>
      <c r="G25" s="29">
        <f t="shared" si="2"/>
        <v>45</v>
      </c>
      <c r="H25" s="29">
        <f t="shared" si="3"/>
        <v>52</v>
      </c>
      <c r="I25" s="29">
        <f t="shared" si="4"/>
        <v>1</v>
      </c>
    </row>
    <row r="26" spans="1:9" x14ac:dyDescent="0.35">
      <c r="A26" s="19">
        <v>59</v>
      </c>
      <c r="B26" s="19">
        <v>63</v>
      </c>
      <c r="C26" s="19">
        <v>-1</v>
      </c>
      <c r="D26" s="23">
        <f>ModelParameter!$F$2*Iterasi2!A26+ModelParameter!$F$3*Iterasi2!B26+ModelParameter!$F$4</f>
        <v>8.4759999999999991</v>
      </c>
      <c r="E26" s="23">
        <f t="shared" si="0"/>
        <v>-8.4759999999999991</v>
      </c>
      <c r="F26" s="20">
        <f t="shared" si="1"/>
        <v>9.4759999999999991</v>
      </c>
      <c r="G26" s="29">
        <f t="shared" si="2"/>
        <v>59</v>
      </c>
      <c r="H26" s="29">
        <f t="shared" si="3"/>
        <v>63</v>
      </c>
      <c r="I26" s="29">
        <f t="shared" si="4"/>
        <v>1</v>
      </c>
    </row>
    <row r="27" spans="1:9" x14ac:dyDescent="0.35">
      <c r="A27" s="19">
        <v>64</v>
      </c>
      <c r="B27" s="19">
        <v>67</v>
      </c>
      <c r="C27" s="19">
        <v>-1</v>
      </c>
      <c r="D27" s="23">
        <f>ModelParameter!$F$2*Iterasi2!A27+ModelParameter!$F$3*Iterasi2!B27+ModelParameter!$F$4</f>
        <v>9.1022999999999996</v>
      </c>
      <c r="E27" s="23">
        <f t="shared" si="0"/>
        <v>-9.1022999999999996</v>
      </c>
      <c r="F27" s="20">
        <f t="shared" si="1"/>
        <v>10.1023</v>
      </c>
      <c r="G27" s="29">
        <f t="shared" si="2"/>
        <v>64</v>
      </c>
      <c r="H27" s="29">
        <f t="shared" si="3"/>
        <v>67</v>
      </c>
      <c r="I27" s="29">
        <f t="shared" si="4"/>
        <v>1</v>
      </c>
    </row>
    <row r="28" spans="1:9" x14ac:dyDescent="0.35">
      <c r="A28" s="19">
        <v>68</v>
      </c>
      <c r="B28" s="19">
        <v>64</v>
      </c>
      <c r="C28" s="19">
        <v>-1</v>
      </c>
      <c r="D28" s="23">
        <f>ModelParameter!$F$2*Iterasi2!A28+ModelParameter!$F$3*Iterasi2!B28+ModelParameter!$F$4</f>
        <v>9.1773999999999987</v>
      </c>
      <c r="E28" s="23">
        <f t="shared" si="0"/>
        <v>-9.1773999999999987</v>
      </c>
      <c r="F28" s="20">
        <f t="shared" si="1"/>
        <v>10.177399999999999</v>
      </c>
      <c r="G28" s="29">
        <f t="shared" si="2"/>
        <v>68</v>
      </c>
      <c r="H28" s="29">
        <f t="shared" si="3"/>
        <v>64</v>
      </c>
      <c r="I28" s="29">
        <f t="shared" si="4"/>
        <v>1</v>
      </c>
    </row>
    <row r="29" spans="1:9" x14ac:dyDescent="0.35">
      <c r="A29" s="19">
        <v>57</v>
      </c>
      <c r="B29" s="19">
        <v>59</v>
      </c>
      <c r="C29" s="19">
        <v>-1</v>
      </c>
      <c r="D29" s="23">
        <f>ModelParameter!$F$2*Iterasi2!A29+ModelParameter!$F$3*Iterasi2!B29+ModelParameter!$F$4</f>
        <v>8.0606000000000009</v>
      </c>
      <c r="E29" s="23">
        <f t="shared" si="0"/>
        <v>-8.0606000000000009</v>
      </c>
      <c r="F29" s="20">
        <f t="shared" si="1"/>
        <v>9.0606000000000009</v>
      </c>
      <c r="G29" s="29">
        <f t="shared" si="2"/>
        <v>57</v>
      </c>
      <c r="H29" s="29">
        <f t="shared" si="3"/>
        <v>59</v>
      </c>
      <c r="I29" s="29">
        <f t="shared" si="4"/>
        <v>1</v>
      </c>
    </row>
    <row r="30" spans="1:9" x14ac:dyDescent="0.35">
      <c r="A30" s="19">
        <v>61</v>
      </c>
      <c r="B30" s="19">
        <v>65</v>
      </c>
      <c r="C30" s="19">
        <v>-1</v>
      </c>
      <c r="D30" s="23">
        <f>ModelParameter!$F$2*Iterasi2!A30+ModelParameter!$F$3*Iterasi2!B30+ModelParameter!$F$4</f>
        <v>8.7539999999999996</v>
      </c>
      <c r="E30" s="23">
        <f t="shared" si="0"/>
        <v>-8.7539999999999996</v>
      </c>
      <c r="F30" s="20">
        <f t="shared" si="1"/>
        <v>9.7539999999999996</v>
      </c>
      <c r="G30" s="29">
        <f t="shared" si="2"/>
        <v>61</v>
      </c>
      <c r="H30" s="29">
        <f t="shared" si="3"/>
        <v>65</v>
      </c>
      <c r="I30" s="29">
        <f t="shared" si="4"/>
        <v>1</v>
      </c>
    </row>
    <row r="31" spans="1:9" x14ac:dyDescent="0.35">
      <c r="A31" s="19">
        <v>53</v>
      </c>
      <c r="B31" s="19">
        <v>58</v>
      </c>
      <c r="C31" s="19">
        <v>-1</v>
      </c>
      <c r="D31" s="23">
        <f>ModelParameter!$F$2*Iterasi2!A31+ModelParameter!$F$3*Iterasi2!B31+ModelParameter!$F$4</f>
        <v>7.7107000000000001</v>
      </c>
      <c r="E31" s="23">
        <f t="shared" si="0"/>
        <v>-7.7107000000000001</v>
      </c>
      <c r="F31" s="20">
        <f t="shared" si="1"/>
        <v>8.7106999999999992</v>
      </c>
      <c r="G31" s="29">
        <f t="shared" si="2"/>
        <v>53</v>
      </c>
      <c r="H31" s="29">
        <f t="shared" si="3"/>
        <v>58</v>
      </c>
      <c r="I31" s="29">
        <f t="shared" si="4"/>
        <v>1</v>
      </c>
    </row>
    <row r="32" spans="1:9" x14ac:dyDescent="0.35">
      <c r="A32" s="19">
        <v>82</v>
      </c>
      <c r="B32" s="19">
        <v>87</v>
      </c>
      <c r="C32" s="19">
        <v>1</v>
      </c>
      <c r="D32" s="23">
        <f>ModelParameter!$F$2*Iterasi2!A32+ModelParameter!$F$3*Iterasi2!B32+ModelParameter!$F$4</f>
        <v>11.741699999999998</v>
      </c>
      <c r="E32" s="23">
        <f t="shared" si="0"/>
        <v>11.741699999999998</v>
      </c>
      <c r="F32" s="20">
        <f t="shared" si="1"/>
        <v>0</v>
      </c>
      <c r="G32" s="29">
        <f t="shared" si="2"/>
        <v>0</v>
      </c>
      <c r="H32" s="29">
        <f t="shared" si="3"/>
        <v>0</v>
      </c>
      <c r="I32" s="29">
        <f t="shared" si="4"/>
        <v>0</v>
      </c>
    </row>
    <row r="33" spans="1:9" x14ac:dyDescent="0.35">
      <c r="A33" s="19">
        <v>79</v>
      </c>
      <c r="B33" s="19">
        <v>81</v>
      </c>
      <c r="C33" s="19">
        <v>1</v>
      </c>
      <c r="D33" s="23">
        <f>ModelParameter!$F$2*Iterasi2!A33+ModelParameter!$F$3*Iterasi2!B33+ModelParameter!$F$4</f>
        <v>11.118600000000001</v>
      </c>
      <c r="E33" s="23">
        <f t="shared" si="0"/>
        <v>11.118600000000001</v>
      </c>
      <c r="F33" s="20">
        <f t="shared" si="1"/>
        <v>0</v>
      </c>
      <c r="G33" s="29">
        <f t="shared" si="2"/>
        <v>0</v>
      </c>
      <c r="H33" s="29">
        <f t="shared" si="3"/>
        <v>0</v>
      </c>
      <c r="I33" s="29">
        <f t="shared" si="4"/>
        <v>0</v>
      </c>
    </row>
    <row r="34" spans="1:9" x14ac:dyDescent="0.35">
      <c r="A34" s="19">
        <v>86</v>
      </c>
      <c r="B34" s="19">
        <v>90</v>
      </c>
      <c r="C34" s="19">
        <v>1</v>
      </c>
      <c r="D34" s="23">
        <f>ModelParameter!$F$2*Iterasi2!A34+ModelParameter!$F$3*Iterasi2!B34+ModelParameter!$F$4</f>
        <v>12.228999999999999</v>
      </c>
      <c r="E34" s="23">
        <f t="shared" si="0"/>
        <v>12.228999999999999</v>
      </c>
      <c r="F34" s="20">
        <f t="shared" si="1"/>
        <v>0</v>
      </c>
      <c r="G34" s="29">
        <f t="shared" si="2"/>
        <v>0</v>
      </c>
      <c r="H34" s="29">
        <f t="shared" si="3"/>
        <v>0</v>
      </c>
      <c r="I34" s="29">
        <f t="shared" si="4"/>
        <v>0</v>
      </c>
    </row>
    <row r="35" spans="1:9" x14ac:dyDescent="0.35">
      <c r="A35" s="19">
        <v>73</v>
      </c>
      <c r="B35" s="19">
        <v>77</v>
      </c>
      <c r="C35" s="19">
        <v>1</v>
      </c>
      <c r="D35" s="23">
        <f>ModelParameter!$F$2*Iterasi2!A35+ModelParameter!$F$3*Iterasi2!B35+ModelParameter!$F$4</f>
        <v>10.421999999999999</v>
      </c>
      <c r="E35" s="23">
        <f t="shared" si="0"/>
        <v>10.421999999999999</v>
      </c>
      <c r="F35" s="20">
        <f t="shared" si="1"/>
        <v>0</v>
      </c>
      <c r="G35" s="29">
        <f t="shared" si="2"/>
        <v>0</v>
      </c>
      <c r="H35" s="29">
        <f t="shared" si="3"/>
        <v>0</v>
      </c>
      <c r="I35" s="29">
        <f t="shared" si="4"/>
        <v>0</v>
      </c>
    </row>
    <row r="36" spans="1:9" x14ac:dyDescent="0.35">
      <c r="A36" s="19">
        <v>75</v>
      </c>
      <c r="B36" s="19">
        <v>79</v>
      </c>
      <c r="C36" s="19">
        <v>1</v>
      </c>
      <c r="D36" s="23">
        <f>ModelParameter!$F$2*Iterasi2!A36+ModelParameter!$F$3*Iterasi2!B36+ModelParameter!$F$4</f>
        <v>10.7</v>
      </c>
      <c r="E36" s="23">
        <f t="shared" si="0"/>
        <v>10.7</v>
      </c>
      <c r="F36" s="20">
        <f t="shared" si="1"/>
        <v>0</v>
      </c>
      <c r="G36" s="29">
        <f t="shared" si="2"/>
        <v>0</v>
      </c>
      <c r="H36" s="29">
        <f t="shared" si="3"/>
        <v>0</v>
      </c>
      <c r="I36" s="29">
        <f t="shared" si="4"/>
        <v>0</v>
      </c>
    </row>
    <row r="37" spans="1:9" x14ac:dyDescent="0.35">
      <c r="A37" s="19">
        <v>48</v>
      </c>
      <c r="B37" s="19">
        <v>50</v>
      </c>
      <c r="C37" s="19">
        <v>-1</v>
      </c>
      <c r="D37" s="23">
        <f>ModelParameter!$F$2*Iterasi2!A37+ModelParameter!$F$3*Iterasi2!B37+ModelParameter!$F$4</f>
        <v>6.8096000000000005</v>
      </c>
      <c r="E37" s="23">
        <f t="shared" si="0"/>
        <v>-6.8096000000000005</v>
      </c>
      <c r="F37" s="20">
        <f t="shared" si="1"/>
        <v>7.8096000000000005</v>
      </c>
      <c r="G37" s="29">
        <f t="shared" si="2"/>
        <v>48</v>
      </c>
      <c r="H37" s="29">
        <f t="shared" si="3"/>
        <v>50</v>
      </c>
      <c r="I37" s="29">
        <f t="shared" si="4"/>
        <v>1</v>
      </c>
    </row>
    <row r="38" spans="1:9" x14ac:dyDescent="0.35">
      <c r="A38" s="19">
        <v>52</v>
      </c>
      <c r="B38" s="19">
        <v>54</v>
      </c>
      <c r="C38" s="19">
        <v>-1</v>
      </c>
      <c r="D38" s="23">
        <f>ModelParameter!$F$2*Iterasi2!A38+ModelParameter!$F$3*Iterasi2!B38+ModelParameter!$F$4</f>
        <v>7.3656000000000006</v>
      </c>
      <c r="E38" s="23">
        <f t="shared" si="0"/>
        <v>-7.3656000000000006</v>
      </c>
      <c r="F38" s="20">
        <f t="shared" si="1"/>
        <v>8.3656000000000006</v>
      </c>
      <c r="G38" s="29">
        <f t="shared" si="2"/>
        <v>52</v>
      </c>
      <c r="H38" s="29">
        <f t="shared" si="3"/>
        <v>54</v>
      </c>
      <c r="I38" s="29">
        <f t="shared" si="4"/>
        <v>1</v>
      </c>
    </row>
    <row r="39" spans="1:9" x14ac:dyDescent="0.35">
      <c r="A39" s="19">
        <v>56</v>
      </c>
      <c r="B39" s="19">
        <v>57</v>
      </c>
      <c r="C39" s="19">
        <v>-1</v>
      </c>
      <c r="D39" s="23">
        <f>ModelParameter!$F$2*Iterasi2!A39+ModelParameter!$F$3*Iterasi2!B39+ModelParameter!$F$4</f>
        <v>7.8529</v>
      </c>
      <c r="E39" s="23">
        <f t="shared" si="0"/>
        <v>-7.8529</v>
      </c>
      <c r="F39" s="20">
        <f t="shared" si="1"/>
        <v>8.8529</v>
      </c>
      <c r="G39" s="29">
        <f t="shared" si="2"/>
        <v>56</v>
      </c>
      <c r="H39" s="29">
        <f t="shared" si="3"/>
        <v>57</v>
      </c>
      <c r="I39" s="29">
        <f t="shared" si="4"/>
        <v>1</v>
      </c>
    </row>
    <row r="40" spans="1:9" x14ac:dyDescent="0.35">
      <c r="A40" s="19">
        <v>63</v>
      </c>
      <c r="B40" s="19">
        <v>60</v>
      </c>
      <c r="C40" s="19">
        <v>-1</v>
      </c>
      <c r="D40" s="23">
        <f>ModelParameter!$F$2*Iterasi2!A40+ModelParameter!$F$3*Iterasi2!B40+ModelParameter!$F$4</f>
        <v>8.5510999999999999</v>
      </c>
      <c r="E40" s="23">
        <f t="shared" si="0"/>
        <v>-8.5510999999999999</v>
      </c>
      <c r="F40" s="20">
        <f t="shared" si="1"/>
        <v>9.5510999999999999</v>
      </c>
      <c r="G40" s="29">
        <f t="shared" si="2"/>
        <v>63</v>
      </c>
      <c r="H40" s="29">
        <f t="shared" si="3"/>
        <v>60</v>
      </c>
      <c r="I40" s="29">
        <f t="shared" si="4"/>
        <v>1</v>
      </c>
    </row>
    <row r="41" spans="1:9" x14ac:dyDescent="0.35">
      <c r="A41" s="19">
        <v>66</v>
      </c>
      <c r="B41" s="19">
        <v>68</v>
      </c>
      <c r="C41" s="19">
        <v>1</v>
      </c>
      <c r="D41" s="23">
        <f>ModelParameter!$F$2*Iterasi2!A41+ModelParameter!$F$3*Iterasi2!B41+ModelParameter!$F$4</f>
        <v>9.3115999999999985</v>
      </c>
      <c r="E41" s="23">
        <f t="shared" si="0"/>
        <v>9.3115999999999985</v>
      </c>
      <c r="F41" s="20">
        <f t="shared" si="1"/>
        <v>0</v>
      </c>
      <c r="G41" s="29">
        <f t="shared" si="2"/>
        <v>0</v>
      </c>
      <c r="H41" s="29">
        <f t="shared" si="3"/>
        <v>0</v>
      </c>
      <c r="I41" s="29">
        <f t="shared" si="4"/>
        <v>0</v>
      </c>
    </row>
    <row r="42" spans="1:9" x14ac:dyDescent="0.35">
      <c r="A42" s="19">
        <v>69</v>
      </c>
      <c r="B42" s="19">
        <v>71</v>
      </c>
      <c r="C42" s="19">
        <v>1</v>
      </c>
      <c r="D42" s="23">
        <f>ModelParameter!$F$2*Iterasi2!A42+ModelParameter!$F$3*Iterasi2!B42+ModelParameter!$F$4</f>
        <v>9.7286000000000001</v>
      </c>
      <c r="E42" s="23">
        <f t="shared" si="0"/>
        <v>9.7286000000000001</v>
      </c>
      <c r="F42" s="20">
        <f t="shared" si="1"/>
        <v>0</v>
      </c>
      <c r="G42" s="29">
        <f t="shared" si="2"/>
        <v>0</v>
      </c>
      <c r="H42" s="29">
        <f t="shared" si="3"/>
        <v>0</v>
      </c>
      <c r="I42" s="29">
        <f t="shared" si="4"/>
        <v>0</v>
      </c>
    </row>
    <row r="43" spans="1:9" x14ac:dyDescent="0.35">
      <c r="A43" s="19">
        <v>71</v>
      </c>
      <c r="B43" s="19">
        <v>74</v>
      </c>
      <c r="C43" s="19">
        <v>1</v>
      </c>
      <c r="D43" s="23">
        <f>ModelParameter!$F$2*Iterasi2!A43+ModelParameter!$F$3*Iterasi2!B43+ModelParameter!$F$4</f>
        <v>10.075299999999999</v>
      </c>
      <c r="E43" s="23">
        <f t="shared" si="0"/>
        <v>10.075299999999999</v>
      </c>
      <c r="F43" s="20">
        <f t="shared" si="1"/>
        <v>0</v>
      </c>
      <c r="G43" s="29">
        <f t="shared" si="2"/>
        <v>0</v>
      </c>
      <c r="H43" s="29">
        <f t="shared" si="3"/>
        <v>0</v>
      </c>
      <c r="I43" s="29">
        <f t="shared" si="4"/>
        <v>0</v>
      </c>
    </row>
    <row r="44" spans="1:9" x14ac:dyDescent="0.35">
      <c r="A44" s="19">
        <v>54</v>
      </c>
      <c r="B44" s="19">
        <v>56</v>
      </c>
      <c r="C44" s="19">
        <v>-1</v>
      </c>
      <c r="D44" s="23">
        <f>ModelParameter!$F$2*Iterasi2!A44+ModelParameter!$F$3*Iterasi2!B44+ModelParameter!$F$4</f>
        <v>7.6436000000000002</v>
      </c>
      <c r="E44" s="23">
        <f t="shared" si="0"/>
        <v>-7.6436000000000002</v>
      </c>
      <c r="F44" s="20">
        <f t="shared" si="1"/>
        <v>8.6435999999999993</v>
      </c>
      <c r="G44" s="29">
        <f t="shared" si="2"/>
        <v>54</v>
      </c>
      <c r="H44" s="29">
        <f t="shared" si="3"/>
        <v>56</v>
      </c>
      <c r="I44" s="29">
        <f t="shared" si="4"/>
        <v>1</v>
      </c>
    </row>
    <row r="45" spans="1:9" x14ac:dyDescent="0.35">
      <c r="A45" s="19">
        <v>47</v>
      </c>
      <c r="B45" s="19">
        <v>49</v>
      </c>
      <c r="C45" s="19">
        <v>-1</v>
      </c>
      <c r="D45" s="23">
        <f>ModelParameter!$F$2*Iterasi2!A45+ModelParameter!$F$3*Iterasi2!B45+ModelParameter!$F$4</f>
        <v>6.6706000000000003</v>
      </c>
      <c r="E45" s="23">
        <f t="shared" si="0"/>
        <v>-6.6706000000000003</v>
      </c>
      <c r="F45" s="20">
        <f t="shared" si="1"/>
        <v>7.6706000000000003</v>
      </c>
      <c r="G45" s="29">
        <f t="shared" si="2"/>
        <v>47</v>
      </c>
      <c r="H45" s="29">
        <f t="shared" si="3"/>
        <v>49</v>
      </c>
      <c r="I45" s="29">
        <f t="shared" si="4"/>
        <v>1</v>
      </c>
    </row>
    <row r="46" spans="1:9" x14ac:dyDescent="0.35">
      <c r="A46" s="19">
        <v>51</v>
      </c>
      <c r="B46" s="19">
        <v>53</v>
      </c>
      <c r="C46" s="19">
        <v>-1</v>
      </c>
      <c r="D46" s="23">
        <f>ModelParameter!$F$2*Iterasi2!A46+ModelParameter!$F$3*Iterasi2!B46+ModelParameter!$F$4</f>
        <v>7.2266000000000004</v>
      </c>
      <c r="E46" s="23">
        <f t="shared" si="0"/>
        <v>-7.2266000000000004</v>
      </c>
      <c r="F46" s="20">
        <f t="shared" si="1"/>
        <v>8.2266000000000012</v>
      </c>
      <c r="G46" s="29">
        <f t="shared" si="2"/>
        <v>51</v>
      </c>
      <c r="H46" s="29">
        <f t="shared" si="3"/>
        <v>53</v>
      </c>
      <c r="I46" s="29">
        <f t="shared" si="4"/>
        <v>1</v>
      </c>
    </row>
    <row r="47" spans="1:9" x14ac:dyDescent="0.35">
      <c r="A47" s="19">
        <v>80</v>
      </c>
      <c r="B47" s="19">
        <v>78</v>
      </c>
      <c r="C47" s="19">
        <v>1</v>
      </c>
      <c r="D47" s="23">
        <f>ModelParameter!$F$2*Iterasi2!A47+ModelParameter!$F$3*Iterasi2!B47+ModelParameter!$F$4</f>
        <v>10.982800000000001</v>
      </c>
      <c r="E47" s="23">
        <f t="shared" si="0"/>
        <v>10.982800000000001</v>
      </c>
      <c r="F47" s="20">
        <f t="shared" si="1"/>
        <v>0</v>
      </c>
      <c r="G47" s="29">
        <f t="shared" si="2"/>
        <v>0</v>
      </c>
      <c r="H47" s="29">
        <f t="shared" si="3"/>
        <v>0</v>
      </c>
      <c r="I47" s="29">
        <f t="shared" si="4"/>
        <v>0</v>
      </c>
    </row>
    <row r="48" spans="1:9" x14ac:dyDescent="0.35">
      <c r="A48" s="19">
        <v>85</v>
      </c>
      <c r="B48" s="19">
        <v>83</v>
      </c>
      <c r="C48" s="19">
        <v>1</v>
      </c>
      <c r="D48" s="23">
        <f>ModelParameter!$F$2*Iterasi2!A48+ModelParameter!$F$3*Iterasi2!B48+ModelParameter!$F$4</f>
        <v>11.6778</v>
      </c>
      <c r="E48" s="23">
        <f t="shared" si="0"/>
        <v>11.6778</v>
      </c>
      <c r="F48" s="20">
        <f t="shared" si="1"/>
        <v>0</v>
      </c>
      <c r="G48" s="29">
        <f t="shared" si="2"/>
        <v>0</v>
      </c>
      <c r="H48" s="29">
        <f t="shared" si="3"/>
        <v>0</v>
      </c>
      <c r="I48" s="29">
        <f t="shared" si="4"/>
        <v>0</v>
      </c>
    </row>
    <row r="49" spans="1:9" x14ac:dyDescent="0.35">
      <c r="A49" s="19">
        <v>58</v>
      </c>
      <c r="B49" s="19">
        <v>61</v>
      </c>
      <c r="C49" s="19">
        <v>-1</v>
      </c>
      <c r="D49" s="23">
        <f>ModelParameter!$F$2*Iterasi2!A49+ModelParameter!$F$3*Iterasi2!B49+ModelParameter!$F$4</f>
        <v>8.2683</v>
      </c>
      <c r="E49" s="23">
        <f t="shared" si="0"/>
        <v>-8.2683</v>
      </c>
      <c r="F49" s="20">
        <f t="shared" si="1"/>
        <v>9.2683</v>
      </c>
      <c r="G49" s="29">
        <f t="shared" si="2"/>
        <v>58</v>
      </c>
      <c r="H49" s="29">
        <f t="shared" si="3"/>
        <v>61</v>
      </c>
      <c r="I49" s="29">
        <f t="shared" si="4"/>
        <v>1</v>
      </c>
    </row>
    <row r="50" spans="1:9" x14ac:dyDescent="0.35">
      <c r="A50" s="19">
        <v>62</v>
      </c>
      <c r="B50" s="19">
        <v>64</v>
      </c>
      <c r="C50" s="19">
        <v>-1</v>
      </c>
      <c r="D50" s="23">
        <f>ModelParameter!$F$2*Iterasi2!A50+ModelParameter!$F$3*Iterasi2!B50+ModelParameter!$F$4</f>
        <v>8.7555999999999994</v>
      </c>
      <c r="E50" s="23">
        <f t="shared" si="0"/>
        <v>-8.7555999999999994</v>
      </c>
      <c r="F50" s="20">
        <f t="shared" si="1"/>
        <v>9.7555999999999994</v>
      </c>
      <c r="G50" s="29">
        <f t="shared" si="2"/>
        <v>62</v>
      </c>
      <c r="H50" s="29">
        <f t="shared" si="3"/>
        <v>64</v>
      </c>
      <c r="I50" s="29">
        <f t="shared" si="4"/>
        <v>1</v>
      </c>
    </row>
    <row r="51" spans="1:9" x14ac:dyDescent="0.35">
      <c r="A51" s="19">
        <v>90</v>
      </c>
      <c r="B51" s="19">
        <v>92</v>
      </c>
      <c r="C51" s="19">
        <v>1</v>
      </c>
      <c r="D51" s="23">
        <f>ModelParameter!$F$2*Iterasi2!A51+ModelParameter!$F$3*Iterasi2!B51+ModelParameter!$F$4</f>
        <v>12.647599999999999</v>
      </c>
      <c r="E51" s="23">
        <f t="shared" si="0"/>
        <v>12.647599999999999</v>
      </c>
      <c r="F51" s="20">
        <f t="shared" si="1"/>
        <v>0</v>
      </c>
      <c r="G51" s="29">
        <f t="shared" si="2"/>
        <v>0</v>
      </c>
      <c r="H51" s="29">
        <f t="shared" si="3"/>
        <v>0</v>
      </c>
      <c r="I51" s="29">
        <f t="shared" si="4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BD44-77A6-4180-A4A4-818DB38794BA}">
  <dimension ref="A1:I51"/>
  <sheetViews>
    <sheetView zoomScale="79" workbookViewId="0">
      <selection activeCell="K18" sqref="K18"/>
    </sheetView>
  </sheetViews>
  <sheetFormatPr defaultRowHeight="14.5" x14ac:dyDescent="0.35"/>
  <sheetData>
    <row r="1" spans="1:9" x14ac:dyDescent="0.35">
      <c r="A1" s="22" t="s">
        <v>0</v>
      </c>
      <c r="B1" s="22" t="s">
        <v>1</v>
      </c>
      <c r="C1" s="22" t="s">
        <v>2</v>
      </c>
      <c r="D1" s="24" t="s">
        <v>3</v>
      </c>
      <c r="E1" s="24" t="s">
        <v>4</v>
      </c>
      <c r="F1" s="25" t="s">
        <v>5</v>
      </c>
      <c r="G1" s="26" t="s">
        <v>6</v>
      </c>
      <c r="H1" s="26" t="s">
        <v>7</v>
      </c>
      <c r="I1" s="26" t="s">
        <v>8</v>
      </c>
    </row>
    <row r="2" spans="1:9" x14ac:dyDescent="0.35">
      <c r="A2" s="19">
        <v>85</v>
      </c>
      <c r="B2" s="19">
        <v>88</v>
      </c>
      <c r="C2" s="19">
        <v>1</v>
      </c>
      <c r="D2" s="23">
        <f>ModelParameter!$J$2*Iterasi3!A2+ModelParameter!$J$3*Iterasi3!B2+ModelParameter!$J$4</f>
        <v>-12.499400000000003</v>
      </c>
      <c r="E2" s="23">
        <f>C2*D2</f>
        <v>-12.499400000000003</v>
      </c>
      <c r="F2" s="20">
        <f>MAX(0, 1 - E2)</f>
        <v>13.499400000000003</v>
      </c>
      <c r="G2" s="29">
        <f>IF(E2&gt;=1, 0, -C2*A2)</f>
        <v>-85</v>
      </c>
      <c r="H2" s="29">
        <f>IF(E2&gt;=1, 0, -C2*B2)</f>
        <v>-88</v>
      </c>
      <c r="I2" s="29">
        <f>IF(E2&gt;=1, 0, -C2)</f>
        <v>-1</v>
      </c>
    </row>
    <row r="3" spans="1:9" x14ac:dyDescent="0.35">
      <c r="A3" s="19">
        <v>78</v>
      </c>
      <c r="B3" s="19">
        <v>82</v>
      </c>
      <c r="C3" s="19">
        <v>1</v>
      </c>
      <c r="D3" s="23">
        <f>ModelParameter!$J$2*Iterasi3!A3+ModelParameter!$J$3*Iterasi3!B3+ModelParameter!$J$4</f>
        <v>-11.564600000000002</v>
      </c>
      <c r="E3" s="23">
        <f t="shared" ref="E3:E51" si="0">C3*D3</f>
        <v>-11.564600000000002</v>
      </c>
      <c r="F3" s="20">
        <f t="shared" ref="F3:F51" si="1">MAX(0, 1 - E3)</f>
        <v>12.564600000000002</v>
      </c>
      <c r="G3" s="29">
        <f t="shared" ref="G3:G51" si="2">IF(E3&gt;=1, 0, -C3*A3)</f>
        <v>-78</v>
      </c>
      <c r="H3" s="29">
        <f t="shared" ref="H3:H51" si="3">IF(E3&gt;=1, 0, -C3*B3)</f>
        <v>-82</v>
      </c>
      <c r="I3" s="29">
        <f t="shared" ref="I3:I51" si="4">IF(E3&gt;=1, 0, -C3)</f>
        <v>-1</v>
      </c>
    </row>
    <row r="4" spans="1:9" x14ac:dyDescent="0.35">
      <c r="A4" s="19">
        <v>90</v>
      </c>
      <c r="B4" s="19">
        <v>91</v>
      </c>
      <c r="C4" s="19">
        <v>1</v>
      </c>
      <c r="D4" s="23">
        <f>ModelParameter!$J$2*Iterasi3!A4+ModelParameter!$J$3*Iterasi3!B4+ModelParameter!$J$4</f>
        <v>-13.069400000000002</v>
      </c>
      <c r="E4" s="23">
        <f t="shared" si="0"/>
        <v>-13.069400000000002</v>
      </c>
      <c r="F4" s="20">
        <f t="shared" si="1"/>
        <v>14.069400000000002</v>
      </c>
      <c r="G4" s="29">
        <f t="shared" si="2"/>
        <v>-90</v>
      </c>
      <c r="H4" s="29">
        <f t="shared" si="3"/>
        <v>-91</v>
      </c>
      <c r="I4" s="29">
        <f t="shared" si="4"/>
        <v>-1</v>
      </c>
    </row>
    <row r="5" spans="1:9" x14ac:dyDescent="0.35">
      <c r="A5" s="19">
        <v>70</v>
      </c>
      <c r="B5" s="19">
        <v>75</v>
      </c>
      <c r="C5" s="19">
        <v>1</v>
      </c>
      <c r="D5" s="23">
        <f>ModelParameter!$J$2*Iterasi3!A5+ModelParameter!$J$3*Iterasi3!B5+ModelParameter!$J$4</f>
        <v>-10.485400000000002</v>
      </c>
      <c r="E5" s="23">
        <f t="shared" si="0"/>
        <v>-10.485400000000002</v>
      </c>
      <c r="F5" s="20">
        <f t="shared" si="1"/>
        <v>11.485400000000002</v>
      </c>
      <c r="G5" s="29">
        <f t="shared" si="2"/>
        <v>-70</v>
      </c>
      <c r="H5" s="29">
        <f t="shared" si="3"/>
        <v>-75</v>
      </c>
      <c r="I5" s="29">
        <f t="shared" si="4"/>
        <v>-1</v>
      </c>
    </row>
    <row r="6" spans="1:9" x14ac:dyDescent="0.35">
      <c r="A6" s="19">
        <v>88</v>
      </c>
      <c r="B6" s="19">
        <v>84</v>
      </c>
      <c r="C6" s="19">
        <v>1</v>
      </c>
      <c r="D6" s="23">
        <f>ModelParameter!$J$2*Iterasi3!A6+ModelParameter!$J$3*Iterasi3!B6+ModelParameter!$J$4</f>
        <v>-12.400600000000003</v>
      </c>
      <c r="E6" s="23">
        <f t="shared" si="0"/>
        <v>-12.400600000000003</v>
      </c>
      <c r="F6" s="20">
        <f t="shared" si="1"/>
        <v>13.400600000000003</v>
      </c>
      <c r="G6" s="29">
        <f t="shared" si="2"/>
        <v>-88</v>
      </c>
      <c r="H6" s="29">
        <f t="shared" si="3"/>
        <v>-84</v>
      </c>
      <c r="I6" s="29">
        <f t="shared" si="4"/>
        <v>-1</v>
      </c>
    </row>
    <row r="7" spans="1:9" x14ac:dyDescent="0.35">
      <c r="A7" s="19">
        <v>92</v>
      </c>
      <c r="B7" s="19">
        <v>89</v>
      </c>
      <c r="C7" s="19">
        <v>1</v>
      </c>
      <c r="D7" s="23">
        <f>ModelParameter!$J$2*Iterasi3!A7+ModelParameter!$J$3*Iterasi3!B7+ModelParameter!$J$4</f>
        <v>-13.054200000000003</v>
      </c>
      <c r="E7" s="23">
        <f t="shared" si="0"/>
        <v>-13.054200000000003</v>
      </c>
      <c r="F7" s="20">
        <f t="shared" si="1"/>
        <v>14.054200000000003</v>
      </c>
      <c r="G7" s="29">
        <f t="shared" si="2"/>
        <v>-92</v>
      </c>
      <c r="H7" s="29">
        <f t="shared" si="3"/>
        <v>-89</v>
      </c>
      <c r="I7" s="29">
        <f t="shared" si="4"/>
        <v>-1</v>
      </c>
    </row>
    <row r="8" spans="1:9" x14ac:dyDescent="0.35">
      <c r="A8" s="19">
        <v>76</v>
      </c>
      <c r="B8" s="19">
        <v>80</v>
      </c>
      <c r="C8" s="19">
        <v>1</v>
      </c>
      <c r="D8" s="23">
        <f>ModelParameter!$J$2*Iterasi3!A8+ModelParameter!$J$3*Iterasi3!B8+ModelParameter!$J$4</f>
        <v>-11.275800000000002</v>
      </c>
      <c r="E8" s="23">
        <f t="shared" si="0"/>
        <v>-11.275800000000002</v>
      </c>
      <c r="F8" s="20">
        <f t="shared" si="1"/>
        <v>12.275800000000002</v>
      </c>
      <c r="G8" s="29">
        <f t="shared" si="2"/>
        <v>-76</v>
      </c>
      <c r="H8" s="29">
        <f t="shared" si="3"/>
        <v>-80</v>
      </c>
      <c r="I8" s="29">
        <f t="shared" si="4"/>
        <v>-1</v>
      </c>
    </row>
    <row r="9" spans="1:9" x14ac:dyDescent="0.35">
      <c r="A9" s="19">
        <v>83</v>
      </c>
      <c r="B9" s="19">
        <v>79</v>
      </c>
      <c r="C9" s="19">
        <v>1</v>
      </c>
      <c r="D9" s="23">
        <f>ModelParameter!$J$2*Iterasi3!A9+ModelParameter!$J$3*Iterasi3!B9+ModelParameter!$J$4</f>
        <v>-11.678600000000001</v>
      </c>
      <c r="E9" s="23">
        <f t="shared" si="0"/>
        <v>-11.678600000000001</v>
      </c>
      <c r="F9" s="20">
        <f t="shared" si="1"/>
        <v>12.678600000000001</v>
      </c>
      <c r="G9" s="29">
        <f t="shared" si="2"/>
        <v>-83</v>
      </c>
      <c r="H9" s="29">
        <f t="shared" si="3"/>
        <v>-79</v>
      </c>
      <c r="I9" s="29">
        <f t="shared" si="4"/>
        <v>-1</v>
      </c>
    </row>
    <row r="10" spans="1:9" x14ac:dyDescent="0.35">
      <c r="A10" s="19">
        <v>87</v>
      </c>
      <c r="B10" s="19">
        <v>90</v>
      </c>
      <c r="C10" s="19">
        <v>1</v>
      </c>
      <c r="D10" s="23">
        <f>ModelParameter!$J$2*Iterasi3!A10+ModelParameter!$J$3*Iterasi3!B10+ModelParameter!$J$4</f>
        <v>-12.788200000000002</v>
      </c>
      <c r="E10" s="23">
        <f t="shared" si="0"/>
        <v>-12.788200000000002</v>
      </c>
      <c r="F10" s="20">
        <f t="shared" si="1"/>
        <v>13.788200000000002</v>
      </c>
      <c r="G10" s="29">
        <f t="shared" si="2"/>
        <v>-87</v>
      </c>
      <c r="H10" s="29">
        <f t="shared" si="3"/>
        <v>-90</v>
      </c>
      <c r="I10" s="29">
        <f t="shared" si="4"/>
        <v>-1</v>
      </c>
    </row>
    <row r="11" spans="1:9" x14ac:dyDescent="0.35">
      <c r="A11" s="19">
        <v>80</v>
      </c>
      <c r="B11" s="19">
        <v>85</v>
      </c>
      <c r="C11" s="19">
        <v>1</v>
      </c>
      <c r="D11" s="23">
        <f>ModelParameter!$J$2*Iterasi3!A11+ModelParameter!$J$3*Iterasi3!B11+ModelParameter!$J$4</f>
        <v>-11.929400000000003</v>
      </c>
      <c r="E11" s="23">
        <f t="shared" si="0"/>
        <v>-11.929400000000003</v>
      </c>
      <c r="F11" s="20">
        <f t="shared" si="1"/>
        <v>12.929400000000003</v>
      </c>
      <c r="G11" s="29">
        <f t="shared" si="2"/>
        <v>-80</v>
      </c>
      <c r="H11" s="29">
        <f t="shared" si="3"/>
        <v>-85</v>
      </c>
      <c r="I11" s="29">
        <f t="shared" si="4"/>
        <v>-1</v>
      </c>
    </row>
    <row r="12" spans="1:9" x14ac:dyDescent="0.35">
      <c r="A12" s="19">
        <v>74</v>
      </c>
      <c r="B12" s="19">
        <v>78</v>
      </c>
      <c r="C12" s="19">
        <v>1</v>
      </c>
      <c r="D12" s="23">
        <f>ModelParameter!$J$2*Iterasi3!A12+ModelParameter!$J$3*Iterasi3!B12+ModelParameter!$J$4</f>
        <v>-10.987000000000002</v>
      </c>
      <c r="E12" s="23">
        <f t="shared" si="0"/>
        <v>-10.987000000000002</v>
      </c>
      <c r="F12" s="20">
        <f t="shared" si="1"/>
        <v>11.987000000000002</v>
      </c>
      <c r="G12" s="29">
        <f t="shared" si="2"/>
        <v>-74</v>
      </c>
      <c r="H12" s="29">
        <f t="shared" si="3"/>
        <v>-78</v>
      </c>
      <c r="I12" s="29">
        <f t="shared" si="4"/>
        <v>-1</v>
      </c>
    </row>
    <row r="13" spans="1:9" x14ac:dyDescent="0.35">
      <c r="A13" s="19">
        <v>89</v>
      </c>
      <c r="B13" s="19">
        <v>86</v>
      </c>
      <c r="C13" s="19">
        <v>1</v>
      </c>
      <c r="D13" s="23">
        <f>ModelParameter!$J$2*Iterasi3!A13+ModelParameter!$J$3*Iterasi3!B13+ModelParameter!$J$4</f>
        <v>-12.621000000000002</v>
      </c>
      <c r="E13" s="23">
        <f t="shared" si="0"/>
        <v>-12.621000000000002</v>
      </c>
      <c r="F13" s="20">
        <f t="shared" si="1"/>
        <v>13.621000000000002</v>
      </c>
      <c r="G13" s="29">
        <f t="shared" si="2"/>
        <v>-89</v>
      </c>
      <c r="H13" s="29">
        <f t="shared" si="3"/>
        <v>-86</v>
      </c>
      <c r="I13" s="29">
        <f t="shared" si="4"/>
        <v>-1</v>
      </c>
    </row>
    <row r="14" spans="1:9" x14ac:dyDescent="0.35">
      <c r="A14" s="19">
        <v>81</v>
      </c>
      <c r="B14" s="19">
        <v>83</v>
      </c>
      <c r="C14" s="19">
        <v>1</v>
      </c>
      <c r="D14" s="23">
        <f>ModelParameter!$J$2*Iterasi3!A14+ModelParameter!$J$3*Iterasi3!B14+ModelParameter!$J$4</f>
        <v>-11.845800000000002</v>
      </c>
      <c r="E14" s="23">
        <f t="shared" si="0"/>
        <v>-11.845800000000002</v>
      </c>
      <c r="F14" s="20">
        <f t="shared" si="1"/>
        <v>12.845800000000002</v>
      </c>
      <c r="G14" s="29">
        <f t="shared" si="2"/>
        <v>-81</v>
      </c>
      <c r="H14" s="29">
        <f t="shared" si="3"/>
        <v>-83</v>
      </c>
      <c r="I14" s="29">
        <f t="shared" si="4"/>
        <v>-1</v>
      </c>
    </row>
    <row r="15" spans="1:9" x14ac:dyDescent="0.35">
      <c r="A15" s="19">
        <v>77</v>
      </c>
      <c r="B15" s="19">
        <v>76</v>
      </c>
      <c r="C15" s="19">
        <v>1</v>
      </c>
      <c r="D15" s="23">
        <f>ModelParameter!$J$2*Iterasi3!A15+ModelParameter!$J$3*Iterasi3!B15+ModelParameter!$J$4</f>
        <v>-11.040200000000002</v>
      </c>
      <c r="E15" s="23">
        <f t="shared" si="0"/>
        <v>-11.040200000000002</v>
      </c>
      <c r="F15" s="20">
        <f t="shared" si="1"/>
        <v>12.040200000000002</v>
      </c>
      <c r="G15" s="29">
        <f t="shared" si="2"/>
        <v>-77</v>
      </c>
      <c r="H15" s="29">
        <f t="shared" si="3"/>
        <v>-76</v>
      </c>
      <c r="I15" s="29">
        <f t="shared" si="4"/>
        <v>-1</v>
      </c>
    </row>
    <row r="16" spans="1:9" x14ac:dyDescent="0.35">
      <c r="A16" s="19">
        <v>84</v>
      </c>
      <c r="B16" s="19">
        <v>88</v>
      </c>
      <c r="C16" s="19">
        <v>1</v>
      </c>
      <c r="D16" s="23">
        <f>ModelParameter!$J$2*Iterasi3!A16+ModelParameter!$J$3*Iterasi3!B16+ModelParameter!$J$4</f>
        <v>-12.431000000000003</v>
      </c>
      <c r="E16" s="23">
        <f t="shared" si="0"/>
        <v>-12.431000000000003</v>
      </c>
      <c r="F16" s="20">
        <f t="shared" si="1"/>
        <v>13.431000000000003</v>
      </c>
      <c r="G16" s="29">
        <f t="shared" si="2"/>
        <v>-84</v>
      </c>
      <c r="H16" s="29">
        <f t="shared" si="3"/>
        <v>-88</v>
      </c>
      <c r="I16" s="29">
        <f t="shared" si="4"/>
        <v>-1</v>
      </c>
    </row>
    <row r="17" spans="1:9" x14ac:dyDescent="0.35">
      <c r="A17" s="19">
        <v>65</v>
      </c>
      <c r="B17" s="19">
        <v>70</v>
      </c>
      <c r="C17" s="19">
        <v>-1</v>
      </c>
      <c r="D17" s="23">
        <f>ModelParameter!$J$2*Iterasi3!A17+ModelParameter!$J$3*Iterasi3!B17+ModelParameter!$J$4</f>
        <v>-9.7634000000000025</v>
      </c>
      <c r="E17" s="23">
        <f t="shared" si="0"/>
        <v>9.7634000000000025</v>
      </c>
      <c r="F17" s="20">
        <f t="shared" si="1"/>
        <v>0</v>
      </c>
      <c r="G17" s="29">
        <f t="shared" si="2"/>
        <v>0</v>
      </c>
      <c r="H17" s="29">
        <f t="shared" si="3"/>
        <v>0</v>
      </c>
      <c r="I17" s="29">
        <f t="shared" si="4"/>
        <v>0</v>
      </c>
    </row>
    <row r="18" spans="1:9" x14ac:dyDescent="0.35">
      <c r="A18" s="19">
        <v>60</v>
      </c>
      <c r="B18" s="19">
        <v>68</v>
      </c>
      <c r="C18" s="19">
        <v>-1</v>
      </c>
      <c r="D18" s="23">
        <f>ModelParameter!$J$2*Iterasi3!A18+ModelParameter!$J$3*Iterasi3!B18+ModelParameter!$J$4</f>
        <v>-9.2694000000000027</v>
      </c>
      <c r="E18" s="23">
        <f t="shared" si="0"/>
        <v>9.2694000000000027</v>
      </c>
      <c r="F18" s="20">
        <f t="shared" si="1"/>
        <v>0</v>
      </c>
      <c r="G18" s="29">
        <f t="shared" si="2"/>
        <v>0</v>
      </c>
      <c r="H18" s="29">
        <f t="shared" si="3"/>
        <v>0</v>
      </c>
      <c r="I18" s="29">
        <f t="shared" si="4"/>
        <v>0</v>
      </c>
    </row>
    <row r="19" spans="1:9" x14ac:dyDescent="0.35">
      <c r="A19" s="19">
        <v>55</v>
      </c>
      <c r="B19" s="19">
        <v>62</v>
      </c>
      <c r="C19" s="19">
        <v>-1</v>
      </c>
      <c r="D19" s="23">
        <f>ModelParameter!$J$2*Iterasi3!A19+ModelParameter!$J$3*Iterasi3!B19+ModelParameter!$J$4</f>
        <v>-8.4714000000000009</v>
      </c>
      <c r="E19" s="23">
        <f t="shared" si="0"/>
        <v>8.4714000000000009</v>
      </c>
      <c r="F19" s="20">
        <f t="shared" si="1"/>
        <v>0</v>
      </c>
      <c r="G19" s="29">
        <f t="shared" si="2"/>
        <v>0</v>
      </c>
      <c r="H19" s="29">
        <f t="shared" si="3"/>
        <v>0</v>
      </c>
      <c r="I19" s="29">
        <f t="shared" si="4"/>
        <v>0</v>
      </c>
    </row>
    <row r="20" spans="1:9" x14ac:dyDescent="0.35">
      <c r="A20" s="19">
        <v>72</v>
      </c>
      <c r="B20" s="19">
        <v>65</v>
      </c>
      <c r="C20" s="19">
        <v>-1</v>
      </c>
      <c r="D20" s="23">
        <f>ModelParameter!$J$2*Iterasi3!A20+ModelParameter!$J$3*Iterasi3!B20+ModelParameter!$J$4</f>
        <v>-9.8622000000000014</v>
      </c>
      <c r="E20" s="23">
        <f t="shared" si="0"/>
        <v>9.8622000000000014</v>
      </c>
      <c r="F20" s="20">
        <f t="shared" si="1"/>
        <v>0</v>
      </c>
      <c r="G20" s="29">
        <f t="shared" si="2"/>
        <v>0</v>
      </c>
      <c r="H20" s="29">
        <f t="shared" si="3"/>
        <v>0</v>
      </c>
      <c r="I20" s="29">
        <f t="shared" si="4"/>
        <v>0</v>
      </c>
    </row>
    <row r="21" spans="1:9" x14ac:dyDescent="0.35">
      <c r="A21" s="19">
        <v>58</v>
      </c>
      <c r="B21" s="19">
        <v>60</v>
      </c>
      <c r="C21" s="19">
        <v>-1</v>
      </c>
      <c r="D21" s="23">
        <f>ModelParameter!$J$2*Iterasi3!A21+ModelParameter!$J$3*Iterasi3!B21+ModelParameter!$J$4</f>
        <v>-8.5246000000000013</v>
      </c>
      <c r="E21" s="23">
        <f t="shared" si="0"/>
        <v>8.5246000000000013</v>
      </c>
      <c r="F21" s="20">
        <f t="shared" si="1"/>
        <v>0</v>
      </c>
      <c r="G21" s="29">
        <f t="shared" si="2"/>
        <v>0</v>
      </c>
      <c r="H21" s="29">
        <f t="shared" si="3"/>
        <v>0</v>
      </c>
      <c r="I21" s="29">
        <f t="shared" si="4"/>
        <v>0</v>
      </c>
    </row>
    <row r="22" spans="1:9" x14ac:dyDescent="0.35">
      <c r="A22" s="19">
        <v>62</v>
      </c>
      <c r="B22" s="19">
        <v>66</v>
      </c>
      <c r="C22" s="19">
        <v>-1</v>
      </c>
      <c r="D22" s="23">
        <f>ModelParameter!$J$2*Iterasi3!A22+ModelParameter!$J$3*Iterasi3!B22+ModelParameter!$J$4</f>
        <v>-9.2542000000000026</v>
      </c>
      <c r="E22" s="23">
        <f t="shared" si="0"/>
        <v>9.2542000000000026</v>
      </c>
      <c r="F22" s="20">
        <f t="shared" si="1"/>
        <v>0</v>
      </c>
      <c r="G22" s="29">
        <f t="shared" si="2"/>
        <v>0</v>
      </c>
      <c r="H22" s="29">
        <f t="shared" si="3"/>
        <v>0</v>
      </c>
      <c r="I22" s="29">
        <f t="shared" si="4"/>
        <v>0</v>
      </c>
    </row>
    <row r="23" spans="1:9" x14ac:dyDescent="0.35">
      <c r="A23" s="19">
        <v>67</v>
      </c>
      <c r="B23" s="19">
        <v>69</v>
      </c>
      <c r="C23" s="19">
        <v>-1</v>
      </c>
      <c r="D23" s="23">
        <f>ModelParameter!$J$2*Iterasi3!A23+ModelParameter!$J$3*Iterasi3!B23+ModelParameter!$J$4</f>
        <v>-9.8242000000000012</v>
      </c>
      <c r="E23" s="23">
        <f t="shared" si="0"/>
        <v>9.8242000000000012</v>
      </c>
      <c r="F23" s="20">
        <f t="shared" si="1"/>
        <v>0</v>
      </c>
      <c r="G23" s="29">
        <f t="shared" si="2"/>
        <v>0</v>
      </c>
      <c r="H23" s="29">
        <f t="shared" si="3"/>
        <v>0</v>
      </c>
      <c r="I23" s="29">
        <f t="shared" si="4"/>
        <v>0</v>
      </c>
    </row>
    <row r="24" spans="1:9" x14ac:dyDescent="0.35">
      <c r="A24" s="19">
        <v>50</v>
      </c>
      <c r="B24" s="19">
        <v>55</v>
      </c>
      <c r="C24" s="19">
        <v>-1</v>
      </c>
      <c r="D24" s="23">
        <f>ModelParameter!$J$2*Iterasi3!A24+ModelParameter!$J$3*Iterasi3!B24+ModelParameter!$J$4</f>
        <v>-7.5974000000000004</v>
      </c>
      <c r="E24" s="23">
        <f t="shared" si="0"/>
        <v>7.5974000000000004</v>
      </c>
      <c r="F24" s="20">
        <f t="shared" si="1"/>
        <v>0</v>
      </c>
      <c r="G24" s="29">
        <f t="shared" si="2"/>
        <v>0</v>
      </c>
      <c r="H24" s="29">
        <f t="shared" si="3"/>
        <v>0</v>
      </c>
      <c r="I24" s="29">
        <f t="shared" si="4"/>
        <v>0</v>
      </c>
    </row>
    <row r="25" spans="1:9" x14ac:dyDescent="0.35">
      <c r="A25" s="19">
        <v>45</v>
      </c>
      <c r="B25" s="19">
        <v>52</v>
      </c>
      <c r="C25" s="19">
        <v>-1</v>
      </c>
      <c r="D25" s="23">
        <f>ModelParameter!$J$2*Iterasi3!A25+ModelParameter!$J$3*Iterasi3!B25+ModelParameter!$J$4</f>
        <v>-7.027400000000001</v>
      </c>
      <c r="E25" s="23">
        <f t="shared" si="0"/>
        <v>7.027400000000001</v>
      </c>
      <c r="F25" s="20">
        <f t="shared" si="1"/>
        <v>0</v>
      </c>
      <c r="G25" s="29">
        <f t="shared" si="2"/>
        <v>0</v>
      </c>
      <c r="H25" s="29">
        <f t="shared" si="3"/>
        <v>0</v>
      </c>
      <c r="I25" s="29">
        <f t="shared" si="4"/>
        <v>0</v>
      </c>
    </row>
    <row r="26" spans="1:9" x14ac:dyDescent="0.35">
      <c r="A26" s="19">
        <v>59</v>
      </c>
      <c r="B26" s="19">
        <v>63</v>
      </c>
      <c r="C26" s="19">
        <v>-1</v>
      </c>
      <c r="D26" s="23">
        <f>ModelParameter!$J$2*Iterasi3!A26+ModelParameter!$J$3*Iterasi3!B26+ModelParameter!$J$4</f>
        <v>-8.8210000000000015</v>
      </c>
      <c r="E26" s="23">
        <f t="shared" si="0"/>
        <v>8.8210000000000015</v>
      </c>
      <c r="F26" s="20">
        <f t="shared" si="1"/>
        <v>0</v>
      </c>
      <c r="G26" s="29">
        <f t="shared" si="2"/>
        <v>0</v>
      </c>
      <c r="H26" s="29">
        <f t="shared" si="3"/>
        <v>0</v>
      </c>
      <c r="I26" s="29">
        <f t="shared" si="4"/>
        <v>0</v>
      </c>
    </row>
    <row r="27" spans="1:9" x14ac:dyDescent="0.35">
      <c r="A27" s="19">
        <v>64</v>
      </c>
      <c r="B27" s="19">
        <v>67</v>
      </c>
      <c r="C27" s="19">
        <v>-1</v>
      </c>
      <c r="D27" s="23">
        <f>ModelParameter!$J$2*Iterasi3!A27+ModelParameter!$J$3*Iterasi3!B27+ModelParameter!$J$4</f>
        <v>-9.4670000000000005</v>
      </c>
      <c r="E27" s="23">
        <f t="shared" si="0"/>
        <v>9.4670000000000005</v>
      </c>
      <c r="F27" s="20">
        <f t="shared" si="1"/>
        <v>0</v>
      </c>
      <c r="G27" s="29">
        <f t="shared" si="2"/>
        <v>0</v>
      </c>
      <c r="H27" s="29">
        <f t="shared" si="3"/>
        <v>0</v>
      </c>
      <c r="I27" s="29">
        <f t="shared" si="4"/>
        <v>0</v>
      </c>
    </row>
    <row r="28" spans="1:9" x14ac:dyDescent="0.35">
      <c r="A28" s="19">
        <v>68</v>
      </c>
      <c r="B28" s="19">
        <v>64</v>
      </c>
      <c r="C28" s="19">
        <v>-1</v>
      </c>
      <c r="D28" s="23">
        <f>ModelParameter!$J$2*Iterasi3!A28+ModelParameter!$J$3*Iterasi3!B28+ModelParameter!$J$4</f>
        <v>-9.5126000000000008</v>
      </c>
      <c r="E28" s="23">
        <f t="shared" si="0"/>
        <v>9.5126000000000008</v>
      </c>
      <c r="F28" s="20">
        <f t="shared" si="1"/>
        <v>0</v>
      </c>
      <c r="G28" s="29">
        <f t="shared" si="2"/>
        <v>0</v>
      </c>
      <c r="H28" s="29">
        <f t="shared" si="3"/>
        <v>0</v>
      </c>
      <c r="I28" s="29">
        <f t="shared" si="4"/>
        <v>0</v>
      </c>
    </row>
    <row r="29" spans="1:9" x14ac:dyDescent="0.35">
      <c r="A29" s="19">
        <v>57</v>
      </c>
      <c r="B29" s="19">
        <v>59</v>
      </c>
      <c r="C29" s="19">
        <v>-1</v>
      </c>
      <c r="D29" s="23">
        <f>ModelParameter!$J$2*Iterasi3!A29+ModelParameter!$J$3*Iterasi3!B29+ModelParameter!$J$4</f>
        <v>-8.3802000000000021</v>
      </c>
      <c r="E29" s="23">
        <f t="shared" si="0"/>
        <v>8.3802000000000021</v>
      </c>
      <c r="F29" s="20">
        <f t="shared" si="1"/>
        <v>0</v>
      </c>
      <c r="G29" s="29">
        <f t="shared" si="2"/>
        <v>0</v>
      </c>
      <c r="H29" s="29">
        <f t="shared" si="3"/>
        <v>0</v>
      </c>
      <c r="I29" s="29">
        <f t="shared" si="4"/>
        <v>0</v>
      </c>
    </row>
    <row r="30" spans="1:9" x14ac:dyDescent="0.35">
      <c r="A30" s="19">
        <v>61</v>
      </c>
      <c r="B30" s="19">
        <v>65</v>
      </c>
      <c r="C30" s="19">
        <v>-1</v>
      </c>
      <c r="D30" s="23">
        <f>ModelParameter!$J$2*Iterasi3!A30+ModelParameter!$J$3*Iterasi3!B30+ModelParameter!$J$4</f>
        <v>-9.1098000000000017</v>
      </c>
      <c r="E30" s="23">
        <f t="shared" si="0"/>
        <v>9.1098000000000017</v>
      </c>
      <c r="F30" s="20">
        <f t="shared" si="1"/>
        <v>0</v>
      </c>
      <c r="G30" s="29">
        <f t="shared" si="2"/>
        <v>0</v>
      </c>
      <c r="H30" s="29">
        <f t="shared" si="3"/>
        <v>0</v>
      </c>
      <c r="I30" s="29">
        <f t="shared" si="4"/>
        <v>0</v>
      </c>
    </row>
    <row r="31" spans="1:9" x14ac:dyDescent="0.35">
      <c r="A31" s="19">
        <v>53</v>
      </c>
      <c r="B31" s="19">
        <v>58</v>
      </c>
      <c r="C31" s="19">
        <v>-1</v>
      </c>
      <c r="D31" s="23">
        <f>ModelParameter!$J$2*Iterasi3!A31+ModelParameter!$J$3*Iterasi3!B31+ModelParameter!$J$4</f>
        <v>-8.0306000000000015</v>
      </c>
      <c r="E31" s="23">
        <f t="shared" si="0"/>
        <v>8.0306000000000015</v>
      </c>
      <c r="F31" s="20">
        <f t="shared" si="1"/>
        <v>0</v>
      </c>
      <c r="G31" s="29">
        <f t="shared" si="2"/>
        <v>0</v>
      </c>
      <c r="H31" s="29">
        <f t="shared" si="3"/>
        <v>0</v>
      </c>
      <c r="I31" s="29">
        <f t="shared" si="4"/>
        <v>0</v>
      </c>
    </row>
    <row r="32" spans="1:9" x14ac:dyDescent="0.35">
      <c r="A32" s="19">
        <v>82</v>
      </c>
      <c r="B32" s="19">
        <v>87</v>
      </c>
      <c r="C32" s="19">
        <v>1</v>
      </c>
      <c r="D32" s="23">
        <f>ModelParameter!$J$2*Iterasi3!A32+ModelParameter!$J$3*Iterasi3!B32+ModelParameter!$J$4</f>
        <v>-12.218200000000001</v>
      </c>
      <c r="E32" s="23">
        <f t="shared" si="0"/>
        <v>-12.218200000000001</v>
      </c>
      <c r="F32" s="20">
        <f t="shared" si="1"/>
        <v>13.218200000000001</v>
      </c>
      <c r="G32" s="29">
        <f t="shared" si="2"/>
        <v>-82</v>
      </c>
      <c r="H32" s="29">
        <f t="shared" si="3"/>
        <v>-87</v>
      </c>
      <c r="I32" s="29">
        <f t="shared" si="4"/>
        <v>-1</v>
      </c>
    </row>
    <row r="33" spans="1:9" x14ac:dyDescent="0.35">
      <c r="A33" s="19">
        <v>79</v>
      </c>
      <c r="B33" s="19">
        <v>81</v>
      </c>
      <c r="C33" s="19">
        <v>1</v>
      </c>
      <c r="D33" s="23">
        <f>ModelParameter!$J$2*Iterasi3!A33+ModelParameter!$J$3*Iterasi3!B33+ModelParameter!$J$4</f>
        <v>-11.557</v>
      </c>
      <c r="E33" s="23">
        <f t="shared" si="0"/>
        <v>-11.557</v>
      </c>
      <c r="F33" s="20">
        <f t="shared" si="1"/>
        <v>12.557</v>
      </c>
      <c r="G33" s="29">
        <f t="shared" si="2"/>
        <v>-79</v>
      </c>
      <c r="H33" s="29">
        <f t="shared" si="3"/>
        <v>-81</v>
      </c>
      <c r="I33" s="29">
        <f t="shared" si="4"/>
        <v>-1</v>
      </c>
    </row>
    <row r="34" spans="1:9" x14ac:dyDescent="0.35">
      <c r="A34" s="19">
        <v>86</v>
      </c>
      <c r="B34" s="19">
        <v>90</v>
      </c>
      <c r="C34" s="19">
        <v>1</v>
      </c>
      <c r="D34" s="23">
        <f>ModelParameter!$J$2*Iterasi3!A34+ModelParameter!$J$3*Iterasi3!B34+ModelParameter!$J$4</f>
        <v>-12.719800000000001</v>
      </c>
      <c r="E34" s="23">
        <f t="shared" si="0"/>
        <v>-12.719800000000001</v>
      </c>
      <c r="F34" s="20">
        <f t="shared" si="1"/>
        <v>13.719800000000001</v>
      </c>
      <c r="G34" s="29">
        <f t="shared" si="2"/>
        <v>-86</v>
      </c>
      <c r="H34" s="29">
        <f t="shared" si="3"/>
        <v>-90</v>
      </c>
      <c r="I34" s="29">
        <f t="shared" si="4"/>
        <v>-1</v>
      </c>
    </row>
    <row r="35" spans="1:9" x14ac:dyDescent="0.35">
      <c r="A35" s="19">
        <v>73</v>
      </c>
      <c r="B35" s="19">
        <v>77</v>
      </c>
      <c r="C35" s="19">
        <v>1</v>
      </c>
      <c r="D35" s="23">
        <f>ModelParameter!$J$2*Iterasi3!A35+ModelParameter!$J$3*Iterasi3!B35+ModelParameter!$J$4</f>
        <v>-10.842600000000003</v>
      </c>
      <c r="E35" s="23">
        <f t="shared" si="0"/>
        <v>-10.842600000000003</v>
      </c>
      <c r="F35" s="20">
        <f t="shared" si="1"/>
        <v>11.842600000000003</v>
      </c>
      <c r="G35" s="29">
        <f t="shared" si="2"/>
        <v>-73</v>
      </c>
      <c r="H35" s="29">
        <f t="shared" si="3"/>
        <v>-77</v>
      </c>
      <c r="I35" s="29">
        <f t="shared" si="4"/>
        <v>-1</v>
      </c>
    </row>
    <row r="36" spans="1:9" x14ac:dyDescent="0.35">
      <c r="A36" s="19">
        <v>75</v>
      </c>
      <c r="B36" s="19">
        <v>79</v>
      </c>
      <c r="C36" s="19">
        <v>1</v>
      </c>
      <c r="D36" s="23">
        <f>ModelParameter!$J$2*Iterasi3!A36+ModelParameter!$J$3*Iterasi3!B36+ModelParameter!$J$4</f>
        <v>-11.131400000000001</v>
      </c>
      <c r="E36" s="23">
        <f t="shared" si="0"/>
        <v>-11.131400000000001</v>
      </c>
      <c r="F36" s="20">
        <f t="shared" si="1"/>
        <v>12.131400000000001</v>
      </c>
      <c r="G36" s="29">
        <f t="shared" si="2"/>
        <v>-75</v>
      </c>
      <c r="H36" s="29">
        <f t="shared" si="3"/>
        <v>-79</v>
      </c>
      <c r="I36" s="29">
        <f t="shared" si="4"/>
        <v>-1</v>
      </c>
    </row>
    <row r="37" spans="1:9" x14ac:dyDescent="0.35">
      <c r="A37" s="19">
        <v>48</v>
      </c>
      <c r="B37" s="19">
        <v>50</v>
      </c>
      <c r="C37" s="19">
        <v>-1</v>
      </c>
      <c r="D37" s="23">
        <f>ModelParameter!$J$2*Iterasi3!A37+ModelParameter!$J$3*Iterasi3!B37+ModelParameter!$J$4</f>
        <v>-7.0806000000000004</v>
      </c>
      <c r="E37" s="23">
        <f t="shared" si="0"/>
        <v>7.0806000000000004</v>
      </c>
      <c r="F37" s="20">
        <f t="shared" si="1"/>
        <v>0</v>
      </c>
      <c r="G37" s="29">
        <f t="shared" si="2"/>
        <v>0</v>
      </c>
      <c r="H37" s="29">
        <f t="shared" si="3"/>
        <v>0</v>
      </c>
      <c r="I37" s="29">
        <f t="shared" si="4"/>
        <v>0</v>
      </c>
    </row>
    <row r="38" spans="1:9" x14ac:dyDescent="0.35">
      <c r="A38" s="19">
        <v>52</v>
      </c>
      <c r="B38" s="19">
        <v>54</v>
      </c>
      <c r="C38" s="19">
        <v>-1</v>
      </c>
      <c r="D38" s="23">
        <f>ModelParameter!$J$2*Iterasi3!A38+ModelParameter!$J$3*Iterasi3!B38+ModelParameter!$J$4</f>
        <v>-7.6582000000000008</v>
      </c>
      <c r="E38" s="23">
        <f t="shared" si="0"/>
        <v>7.6582000000000008</v>
      </c>
      <c r="F38" s="20">
        <f t="shared" si="1"/>
        <v>0</v>
      </c>
      <c r="G38" s="29">
        <f t="shared" si="2"/>
        <v>0</v>
      </c>
      <c r="H38" s="29">
        <f t="shared" si="3"/>
        <v>0</v>
      </c>
      <c r="I38" s="29">
        <f t="shared" si="4"/>
        <v>0</v>
      </c>
    </row>
    <row r="39" spans="1:9" x14ac:dyDescent="0.35">
      <c r="A39" s="19">
        <v>56</v>
      </c>
      <c r="B39" s="19">
        <v>57</v>
      </c>
      <c r="C39" s="19">
        <v>-1</v>
      </c>
      <c r="D39" s="23">
        <f>ModelParameter!$J$2*Iterasi3!A39+ModelParameter!$J$3*Iterasi3!B39+ModelParameter!$J$4</f>
        <v>-8.1598000000000024</v>
      </c>
      <c r="E39" s="23">
        <f t="shared" si="0"/>
        <v>8.1598000000000024</v>
      </c>
      <c r="F39" s="20">
        <f t="shared" si="1"/>
        <v>0</v>
      </c>
      <c r="G39" s="29">
        <f t="shared" si="2"/>
        <v>0</v>
      </c>
      <c r="H39" s="29">
        <f t="shared" si="3"/>
        <v>0</v>
      </c>
      <c r="I39" s="29">
        <f t="shared" si="4"/>
        <v>0</v>
      </c>
    </row>
    <row r="40" spans="1:9" x14ac:dyDescent="0.35">
      <c r="A40" s="19">
        <v>63</v>
      </c>
      <c r="B40" s="19">
        <v>60</v>
      </c>
      <c r="C40" s="19">
        <v>-1</v>
      </c>
      <c r="D40" s="23">
        <f>ModelParameter!$J$2*Iterasi3!A40+ModelParameter!$J$3*Iterasi3!B40+ModelParameter!$J$4</f>
        <v>-8.8666</v>
      </c>
      <c r="E40" s="23">
        <f t="shared" si="0"/>
        <v>8.8666</v>
      </c>
      <c r="F40" s="20">
        <f t="shared" si="1"/>
        <v>0</v>
      </c>
      <c r="G40" s="29">
        <f t="shared" si="2"/>
        <v>0</v>
      </c>
      <c r="H40" s="29">
        <f t="shared" si="3"/>
        <v>0</v>
      </c>
      <c r="I40" s="29">
        <f t="shared" si="4"/>
        <v>0</v>
      </c>
    </row>
    <row r="41" spans="1:9" x14ac:dyDescent="0.35">
      <c r="A41" s="19">
        <v>66</v>
      </c>
      <c r="B41" s="19">
        <v>68</v>
      </c>
      <c r="C41" s="19">
        <v>1</v>
      </c>
      <c r="D41" s="23">
        <f>ModelParameter!$J$2*Iterasi3!A41+ModelParameter!$J$3*Iterasi3!B41+ModelParameter!$J$4</f>
        <v>-9.679800000000002</v>
      </c>
      <c r="E41" s="23">
        <f t="shared" si="0"/>
        <v>-9.679800000000002</v>
      </c>
      <c r="F41" s="20">
        <f t="shared" si="1"/>
        <v>10.679800000000002</v>
      </c>
      <c r="G41" s="29">
        <f t="shared" si="2"/>
        <v>-66</v>
      </c>
      <c r="H41" s="29">
        <f t="shared" si="3"/>
        <v>-68</v>
      </c>
      <c r="I41" s="29">
        <f t="shared" si="4"/>
        <v>-1</v>
      </c>
    </row>
    <row r="42" spans="1:9" x14ac:dyDescent="0.35">
      <c r="A42" s="19">
        <v>69</v>
      </c>
      <c r="B42" s="19">
        <v>71</v>
      </c>
      <c r="C42" s="19">
        <v>1</v>
      </c>
      <c r="D42" s="23">
        <f>ModelParameter!$J$2*Iterasi3!A42+ModelParameter!$J$3*Iterasi3!B42+ModelParameter!$J$4</f>
        <v>-10.113000000000001</v>
      </c>
      <c r="E42" s="23">
        <f t="shared" si="0"/>
        <v>-10.113000000000001</v>
      </c>
      <c r="F42" s="20">
        <f t="shared" si="1"/>
        <v>11.113000000000001</v>
      </c>
      <c r="G42" s="29">
        <f t="shared" si="2"/>
        <v>-69</v>
      </c>
      <c r="H42" s="29">
        <f t="shared" si="3"/>
        <v>-71</v>
      </c>
      <c r="I42" s="29">
        <f t="shared" si="4"/>
        <v>-1</v>
      </c>
    </row>
    <row r="43" spans="1:9" x14ac:dyDescent="0.35">
      <c r="A43" s="19">
        <v>71</v>
      </c>
      <c r="B43" s="19">
        <v>74</v>
      </c>
      <c r="C43" s="19">
        <v>1</v>
      </c>
      <c r="D43" s="23">
        <f>ModelParameter!$J$2*Iterasi3!A43+ModelParameter!$J$3*Iterasi3!B43+ModelParameter!$J$4</f>
        <v>-10.4778</v>
      </c>
      <c r="E43" s="23">
        <f t="shared" si="0"/>
        <v>-10.4778</v>
      </c>
      <c r="F43" s="20">
        <f t="shared" si="1"/>
        <v>11.4778</v>
      </c>
      <c r="G43" s="29">
        <f t="shared" si="2"/>
        <v>-71</v>
      </c>
      <c r="H43" s="29">
        <f t="shared" si="3"/>
        <v>-74</v>
      </c>
      <c r="I43" s="29">
        <f t="shared" si="4"/>
        <v>-1</v>
      </c>
    </row>
    <row r="44" spans="1:9" x14ac:dyDescent="0.35">
      <c r="A44" s="19">
        <v>54</v>
      </c>
      <c r="B44" s="19">
        <v>56</v>
      </c>
      <c r="C44" s="19">
        <v>-1</v>
      </c>
      <c r="D44" s="23">
        <f>ModelParameter!$J$2*Iterasi3!A44+ModelParameter!$J$3*Iterasi3!B44+ModelParameter!$J$4</f>
        <v>-7.947000000000001</v>
      </c>
      <c r="E44" s="23">
        <f t="shared" si="0"/>
        <v>7.947000000000001</v>
      </c>
      <c r="F44" s="20">
        <f t="shared" si="1"/>
        <v>0</v>
      </c>
      <c r="G44" s="29">
        <f t="shared" si="2"/>
        <v>0</v>
      </c>
      <c r="H44" s="29">
        <f t="shared" si="3"/>
        <v>0</v>
      </c>
      <c r="I44" s="29">
        <f t="shared" si="4"/>
        <v>0</v>
      </c>
    </row>
    <row r="45" spans="1:9" x14ac:dyDescent="0.35">
      <c r="A45" s="19">
        <v>47</v>
      </c>
      <c r="B45" s="19">
        <v>49</v>
      </c>
      <c r="C45" s="19">
        <v>-1</v>
      </c>
      <c r="D45" s="23">
        <f>ModelParameter!$J$2*Iterasi3!A45+ModelParameter!$J$3*Iterasi3!B45+ModelParameter!$J$4</f>
        <v>-6.9362000000000004</v>
      </c>
      <c r="E45" s="23">
        <f t="shared" si="0"/>
        <v>6.9362000000000004</v>
      </c>
      <c r="F45" s="20">
        <f t="shared" si="1"/>
        <v>0</v>
      </c>
      <c r="G45" s="29">
        <f t="shared" si="2"/>
        <v>0</v>
      </c>
      <c r="H45" s="29">
        <f t="shared" si="3"/>
        <v>0</v>
      </c>
      <c r="I45" s="29">
        <f t="shared" si="4"/>
        <v>0</v>
      </c>
    </row>
    <row r="46" spans="1:9" x14ac:dyDescent="0.35">
      <c r="A46" s="19">
        <v>51</v>
      </c>
      <c r="B46" s="19">
        <v>53</v>
      </c>
      <c r="C46" s="19">
        <v>-1</v>
      </c>
      <c r="D46" s="23">
        <f>ModelParameter!$J$2*Iterasi3!A46+ModelParameter!$J$3*Iterasi3!B46+ModelParameter!$J$4</f>
        <v>-7.5138000000000007</v>
      </c>
      <c r="E46" s="23">
        <f t="shared" si="0"/>
        <v>7.5138000000000007</v>
      </c>
      <c r="F46" s="20">
        <f t="shared" si="1"/>
        <v>0</v>
      </c>
      <c r="G46" s="29">
        <f t="shared" si="2"/>
        <v>0</v>
      </c>
      <c r="H46" s="29">
        <f t="shared" si="3"/>
        <v>0</v>
      </c>
      <c r="I46" s="29">
        <f t="shared" si="4"/>
        <v>0</v>
      </c>
    </row>
    <row r="47" spans="1:9" x14ac:dyDescent="0.35">
      <c r="A47" s="19">
        <v>80</v>
      </c>
      <c r="B47" s="19">
        <v>78</v>
      </c>
      <c r="C47" s="19">
        <v>1</v>
      </c>
      <c r="D47" s="23">
        <f>ModelParameter!$J$2*Iterasi3!A47+ModelParameter!$J$3*Iterasi3!B47+ModelParameter!$J$4</f>
        <v>-11.397400000000003</v>
      </c>
      <c r="E47" s="23">
        <f t="shared" si="0"/>
        <v>-11.397400000000003</v>
      </c>
      <c r="F47" s="20">
        <f t="shared" si="1"/>
        <v>12.397400000000003</v>
      </c>
      <c r="G47" s="29">
        <f t="shared" si="2"/>
        <v>-80</v>
      </c>
      <c r="H47" s="29">
        <f t="shared" si="3"/>
        <v>-78</v>
      </c>
      <c r="I47" s="29">
        <f t="shared" si="4"/>
        <v>-1</v>
      </c>
    </row>
    <row r="48" spans="1:9" x14ac:dyDescent="0.35">
      <c r="A48" s="19">
        <v>85</v>
      </c>
      <c r="B48" s="19">
        <v>83</v>
      </c>
      <c r="C48" s="19">
        <v>1</v>
      </c>
      <c r="D48" s="23">
        <f>ModelParameter!$J$2*Iterasi3!A48+ModelParameter!$J$3*Iterasi3!B48+ModelParameter!$J$4</f>
        <v>-12.119400000000002</v>
      </c>
      <c r="E48" s="23">
        <f t="shared" si="0"/>
        <v>-12.119400000000002</v>
      </c>
      <c r="F48" s="20">
        <f t="shared" si="1"/>
        <v>13.119400000000002</v>
      </c>
      <c r="G48" s="29">
        <f t="shared" si="2"/>
        <v>-85</v>
      </c>
      <c r="H48" s="29">
        <f t="shared" si="3"/>
        <v>-83</v>
      </c>
      <c r="I48" s="29">
        <f t="shared" si="4"/>
        <v>-1</v>
      </c>
    </row>
    <row r="49" spans="1:9" x14ac:dyDescent="0.35">
      <c r="A49" s="19">
        <v>58</v>
      </c>
      <c r="B49" s="19">
        <v>61</v>
      </c>
      <c r="C49" s="19">
        <v>-1</v>
      </c>
      <c r="D49" s="23">
        <f>ModelParameter!$J$2*Iterasi3!A49+ModelParameter!$J$3*Iterasi3!B49+ModelParameter!$J$4</f>
        <v>-8.6006000000000018</v>
      </c>
      <c r="E49" s="23">
        <f t="shared" si="0"/>
        <v>8.6006000000000018</v>
      </c>
      <c r="F49" s="20">
        <f t="shared" si="1"/>
        <v>0</v>
      </c>
      <c r="G49" s="29">
        <f t="shared" si="2"/>
        <v>0</v>
      </c>
      <c r="H49" s="29">
        <f t="shared" si="3"/>
        <v>0</v>
      </c>
      <c r="I49" s="29">
        <f t="shared" si="4"/>
        <v>0</v>
      </c>
    </row>
    <row r="50" spans="1:9" x14ac:dyDescent="0.35">
      <c r="A50" s="19">
        <v>62</v>
      </c>
      <c r="B50" s="19">
        <v>64</v>
      </c>
      <c r="C50" s="19">
        <v>-1</v>
      </c>
      <c r="D50" s="23">
        <f>ModelParameter!$J$2*Iterasi3!A50+ModelParameter!$J$3*Iterasi3!B50+ModelParameter!$J$4</f>
        <v>-9.1022000000000016</v>
      </c>
      <c r="E50" s="23">
        <f t="shared" si="0"/>
        <v>9.1022000000000016</v>
      </c>
      <c r="F50" s="20">
        <f t="shared" si="1"/>
        <v>0</v>
      </c>
      <c r="G50" s="29">
        <f t="shared" si="2"/>
        <v>0</v>
      </c>
      <c r="H50" s="29">
        <f t="shared" si="3"/>
        <v>0</v>
      </c>
      <c r="I50" s="29">
        <f t="shared" si="4"/>
        <v>0</v>
      </c>
    </row>
    <row r="51" spans="1:9" x14ac:dyDescent="0.35">
      <c r="A51" s="19">
        <v>90</v>
      </c>
      <c r="B51" s="19">
        <v>92</v>
      </c>
      <c r="C51" s="19">
        <v>1</v>
      </c>
      <c r="D51" s="23">
        <f>ModelParameter!$J$2*Iterasi3!A51+ModelParameter!$J$3*Iterasi3!B51+ModelParameter!$J$4</f>
        <v>-13.145400000000002</v>
      </c>
      <c r="E51" s="23">
        <f t="shared" si="0"/>
        <v>-13.145400000000002</v>
      </c>
      <c r="F51" s="20">
        <f t="shared" si="1"/>
        <v>14.145400000000002</v>
      </c>
      <c r="G51" s="29">
        <f t="shared" si="2"/>
        <v>-90</v>
      </c>
      <c r="H51" s="29">
        <f t="shared" si="3"/>
        <v>-92</v>
      </c>
      <c r="I51" s="29">
        <f t="shared" si="4"/>
        <v>-1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128A-40B9-4F94-B498-82190B30BAD9}">
  <dimension ref="A1:I51"/>
  <sheetViews>
    <sheetView zoomScale="80" workbookViewId="0">
      <selection activeCell="J16" sqref="J16"/>
    </sheetView>
  </sheetViews>
  <sheetFormatPr defaultRowHeight="14.5" x14ac:dyDescent="0.35"/>
  <sheetData>
    <row r="1" spans="1:9" x14ac:dyDescent="0.35">
      <c r="A1" s="22" t="s">
        <v>0</v>
      </c>
      <c r="B1" s="22" t="s">
        <v>1</v>
      </c>
      <c r="C1" s="22" t="s">
        <v>2</v>
      </c>
      <c r="D1" s="30" t="s">
        <v>3</v>
      </c>
      <c r="E1" s="30" t="s">
        <v>4</v>
      </c>
      <c r="F1" s="25" t="s">
        <v>5</v>
      </c>
      <c r="G1" s="26" t="s">
        <v>6</v>
      </c>
      <c r="H1" s="26" t="s">
        <v>7</v>
      </c>
      <c r="I1" s="26" t="s">
        <v>8</v>
      </c>
    </row>
    <row r="2" spans="1:9" x14ac:dyDescent="0.35">
      <c r="A2" s="19">
        <v>85</v>
      </c>
      <c r="B2" s="19">
        <v>88</v>
      </c>
      <c r="C2" s="19">
        <v>1</v>
      </c>
      <c r="D2" s="23">
        <f>ModelParameter!$N$2*Iterasi4!A2+ModelParameter!$N$3*Iterasi4!B2+ModelParameter!$N$4</f>
        <v>24.042200000000001</v>
      </c>
      <c r="E2" s="23">
        <f>C2*D2</f>
        <v>24.042200000000001</v>
      </c>
      <c r="F2" s="20">
        <f>MAX(0, 1 - E2)</f>
        <v>0</v>
      </c>
      <c r="G2" s="29">
        <f>IF(E2&gt;=1, 0, -C2*A2)</f>
        <v>0</v>
      </c>
      <c r="H2" s="29">
        <f>IF(E2&gt;=1, 0, -C2*B2)</f>
        <v>0</v>
      </c>
      <c r="I2" s="29">
        <f>IF(E2&gt;=1, 0, -C2)</f>
        <v>0</v>
      </c>
    </row>
    <row r="3" spans="1:9" x14ac:dyDescent="0.35">
      <c r="A3" s="19">
        <v>78</v>
      </c>
      <c r="B3" s="19">
        <v>82</v>
      </c>
      <c r="C3" s="19">
        <v>1</v>
      </c>
      <c r="D3" s="23">
        <f>ModelParameter!$N$2*Iterasi4!A3+ModelParameter!$N$3*Iterasi4!B3+ModelParameter!$N$4</f>
        <v>22.233600000000003</v>
      </c>
      <c r="E3" s="23">
        <f t="shared" ref="E3:E51" si="0">C3*D3</f>
        <v>22.233600000000003</v>
      </c>
      <c r="F3" s="20">
        <f t="shared" ref="F3:F51" si="1">MAX(0, 1 - E3)</f>
        <v>0</v>
      </c>
      <c r="G3" s="29">
        <f t="shared" ref="G3:G51" si="2">IF(E3&gt;=1, 0, -C3*A3)</f>
        <v>0</v>
      </c>
      <c r="H3" s="29">
        <f t="shared" ref="H3:H51" si="3">IF(E3&gt;=1, 0, -C3*B3)</f>
        <v>0</v>
      </c>
      <c r="I3" s="29">
        <f t="shared" ref="I3:I51" si="4">IF(E3&gt;=1, 0, -C3)</f>
        <v>0</v>
      </c>
    </row>
    <row r="4" spans="1:9" x14ac:dyDescent="0.35">
      <c r="A4" s="19">
        <v>90</v>
      </c>
      <c r="B4" s="19">
        <v>91</v>
      </c>
      <c r="C4" s="19">
        <v>1</v>
      </c>
      <c r="D4" s="23">
        <f>ModelParameter!$N$2*Iterasi4!A4+ModelParameter!$N$3*Iterasi4!B4+ModelParameter!$N$4</f>
        <v>25.157400000000003</v>
      </c>
      <c r="E4" s="23">
        <f t="shared" si="0"/>
        <v>25.157400000000003</v>
      </c>
      <c r="F4" s="20">
        <f t="shared" si="1"/>
        <v>0</v>
      </c>
      <c r="G4" s="29">
        <f t="shared" si="2"/>
        <v>0</v>
      </c>
      <c r="H4" s="29">
        <f t="shared" si="3"/>
        <v>0</v>
      </c>
      <c r="I4" s="29">
        <f t="shared" si="4"/>
        <v>0</v>
      </c>
    </row>
    <row r="5" spans="1:9" x14ac:dyDescent="0.35">
      <c r="A5" s="19">
        <v>70</v>
      </c>
      <c r="B5" s="19">
        <v>75</v>
      </c>
      <c r="C5" s="19">
        <v>1</v>
      </c>
      <c r="D5" s="23">
        <f>ModelParameter!$N$2*Iterasi4!A5+ModelParameter!$N$3*Iterasi4!B5+ModelParameter!$N$4</f>
        <v>20.147000000000002</v>
      </c>
      <c r="E5" s="23">
        <f t="shared" si="0"/>
        <v>20.147000000000002</v>
      </c>
      <c r="F5" s="20">
        <f t="shared" si="1"/>
        <v>0</v>
      </c>
      <c r="G5" s="29">
        <f t="shared" si="2"/>
        <v>0</v>
      </c>
      <c r="H5" s="29">
        <f t="shared" si="3"/>
        <v>0</v>
      </c>
      <c r="I5" s="29">
        <f t="shared" si="4"/>
        <v>0</v>
      </c>
    </row>
    <row r="6" spans="1:9" x14ac:dyDescent="0.35">
      <c r="A6" s="19">
        <v>88</v>
      </c>
      <c r="B6" s="19">
        <v>84</v>
      </c>
      <c r="C6" s="19">
        <v>1</v>
      </c>
      <c r="D6" s="23">
        <f>ModelParameter!$N$2*Iterasi4!A6+ModelParameter!$N$3*Iterasi4!B6+ModelParameter!$N$4</f>
        <v>23.914400000000001</v>
      </c>
      <c r="E6" s="23">
        <f t="shared" si="0"/>
        <v>23.914400000000001</v>
      </c>
      <c r="F6" s="20">
        <f t="shared" si="1"/>
        <v>0</v>
      </c>
      <c r="G6" s="29">
        <f t="shared" si="2"/>
        <v>0</v>
      </c>
      <c r="H6" s="29">
        <f t="shared" si="3"/>
        <v>0</v>
      </c>
      <c r="I6" s="29">
        <f t="shared" si="4"/>
        <v>0</v>
      </c>
    </row>
    <row r="7" spans="1:9" x14ac:dyDescent="0.35">
      <c r="A7" s="19">
        <v>92</v>
      </c>
      <c r="B7" s="19">
        <v>89</v>
      </c>
      <c r="C7" s="19">
        <v>1</v>
      </c>
      <c r="D7" s="23">
        <f>ModelParameter!$N$2*Iterasi4!A7+ModelParameter!$N$3*Iterasi4!B7+ModelParameter!$N$4</f>
        <v>25.163800000000002</v>
      </c>
      <c r="E7" s="23">
        <f t="shared" si="0"/>
        <v>25.163800000000002</v>
      </c>
      <c r="F7" s="20">
        <f t="shared" si="1"/>
        <v>0</v>
      </c>
      <c r="G7" s="29">
        <f t="shared" si="2"/>
        <v>0</v>
      </c>
      <c r="H7" s="29">
        <f t="shared" si="3"/>
        <v>0</v>
      </c>
      <c r="I7" s="29">
        <f t="shared" si="4"/>
        <v>0</v>
      </c>
    </row>
    <row r="8" spans="1:9" x14ac:dyDescent="0.35">
      <c r="A8" s="19">
        <v>76</v>
      </c>
      <c r="B8" s="19">
        <v>80</v>
      </c>
      <c r="C8" s="19">
        <v>1</v>
      </c>
      <c r="D8" s="23">
        <f>ModelParameter!$N$2*Iterasi4!A8+ModelParameter!$N$3*Iterasi4!B8+ModelParameter!$N$4</f>
        <v>21.677600000000002</v>
      </c>
      <c r="E8" s="23">
        <f t="shared" si="0"/>
        <v>21.677600000000002</v>
      </c>
      <c r="F8" s="20">
        <f t="shared" si="1"/>
        <v>0</v>
      </c>
      <c r="G8" s="29">
        <f t="shared" si="2"/>
        <v>0</v>
      </c>
      <c r="H8" s="29">
        <f t="shared" si="3"/>
        <v>0</v>
      </c>
      <c r="I8" s="29">
        <f t="shared" si="4"/>
        <v>0</v>
      </c>
    </row>
    <row r="9" spans="1:9" x14ac:dyDescent="0.35">
      <c r="A9" s="19">
        <v>83</v>
      </c>
      <c r="B9" s="19">
        <v>79</v>
      </c>
      <c r="C9" s="19">
        <v>1</v>
      </c>
      <c r="D9" s="23">
        <f>ModelParameter!$N$2*Iterasi4!A9+ModelParameter!$N$3*Iterasi4!B9+ModelParameter!$N$4</f>
        <v>22.5244</v>
      </c>
      <c r="E9" s="23">
        <f t="shared" si="0"/>
        <v>22.5244</v>
      </c>
      <c r="F9" s="20">
        <f t="shared" si="1"/>
        <v>0</v>
      </c>
      <c r="G9" s="29">
        <f t="shared" si="2"/>
        <v>0</v>
      </c>
      <c r="H9" s="29">
        <f t="shared" si="3"/>
        <v>0</v>
      </c>
      <c r="I9" s="29">
        <f t="shared" si="4"/>
        <v>0</v>
      </c>
    </row>
    <row r="10" spans="1:9" x14ac:dyDescent="0.35">
      <c r="A10" s="19">
        <v>87</v>
      </c>
      <c r="B10" s="19">
        <v>90</v>
      </c>
      <c r="C10" s="19">
        <v>1</v>
      </c>
      <c r="D10" s="23">
        <f>ModelParameter!$N$2*Iterasi4!A10+ModelParameter!$N$3*Iterasi4!B10+ModelParameter!$N$4</f>
        <v>24.598200000000002</v>
      </c>
      <c r="E10" s="23">
        <f t="shared" si="0"/>
        <v>24.598200000000002</v>
      </c>
      <c r="F10" s="20">
        <f t="shared" si="1"/>
        <v>0</v>
      </c>
      <c r="G10" s="29">
        <f t="shared" si="2"/>
        <v>0</v>
      </c>
      <c r="H10" s="29">
        <f t="shared" si="3"/>
        <v>0</v>
      </c>
      <c r="I10" s="29">
        <f t="shared" si="4"/>
        <v>0</v>
      </c>
    </row>
    <row r="11" spans="1:9" x14ac:dyDescent="0.35">
      <c r="A11" s="19">
        <v>80</v>
      </c>
      <c r="B11" s="19">
        <v>85</v>
      </c>
      <c r="C11" s="19">
        <v>1</v>
      </c>
      <c r="D11" s="23">
        <f>ModelParameter!$N$2*Iterasi4!A11+ModelParameter!$N$3*Iterasi4!B11+ModelParameter!$N$4</f>
        <v>22.927000000000003</v>
      </c>
      <c r="E11" s="23">
        <f t="shared" si="0"/>
        <v>22.927000000000003</v>
      </c>
      <c r="F11" s="20">
        <f t="shared" si="1"/>
        <v>0</v>
      </c>
      <c r="G11" s="29">
        <f t="shared" si="2"/>
        <v>0</v>
      </c>
      <c r="H11" s="29">
        <f t="shared" si="3"/>
        <v>0</v>
      </c>
      <c r="I11" s="29">
        <f t="shared" si="4"/>
        <v>0</v>
      </c>
    </row>
    <row r="12" spans="1:9" x14ac:dyDescent="0.35">
      <c r="A12" s="19">
        <v>74</v>
      </c>
      <c r="B12" s="19">
        <v>78</v>
      </c>
      <c r="C12" s="19">
        <v>1</v>
      </c>
      <c r="D12" s="23">
        <f>ModelParameter!$N$2*Iterasi4!A12+ModelParameter!$N$3*Iterasi4!B12+ModelParameter!$N$4</f>
        <v>21.121600000000001</v>
      </c>
      <c r="E12" s="23">
        <f t="shared" si="0"/>
        <v>21.121600000000001</v>
      </c>
      <c r="F12" s="20">
        <f t="shared" si="1"/>
        <v>0</v>
      </c>
      <c r="G12" s="29">
        <f t="shared" si="2"/>
        <v>0</v>
      </c>
      <c r="H12" s="29">
        <f t="shared" si="3"/>
        <v>0</v>
      </c>
      <c r="I12" s="29">
        <f t="shared" si="4"/>
        <v>0</v>
      </c>
    </row>
    <row r="13" spans="1:9" x14ac:dyDescent="0.35">
      <c r="A13" s="19">
        <v>89</v>
      </c>
      <c r="B13" s="19">
        <v>86</v>
      </c>
      <c r="C13" s="19">
        <v>1</v>
      </c>
      <c r="D13" s="23">
        <f>ModelParameter!$N$2*Iterasi4!A13+ModelParameter!$N$3*Iterasi4!B13+ModelParameter!$N$4</f>
        <v>24.329800000000002</v>
      </c>
      <c r="E13" s="23">
        <f t="shared" si="0"/>
        <v>24.329800000000002</v>
      </c>
      <c r="F13" s="20">
        <f t="shared" si="1"/>
        <v>0</v>
      </c>
      <c r="G13" s="29">
        <f t="shared" si="2"/>
        <v>0</v>
      </c>
      <c r="H13" s="29">
        <f t="shared" si="3"/>
        <v>0</v>
      </c>
      <c r="I13" s="29">
        <f t="shared" si="4"/>
        <v>0</v>
      </c>
    </row>
    <row r="14" spans="1:9" x14ac:dyDescent="0.35">
      <c r="A14" s="19">
        <v>81</v>
      </c>
      <c r="B14" s="19">
        <v>83</v>
      </c>
      <c r="C14" s="19">
        <v>1</v>
      </c>
      <c r="D14" s="23">
        <f>ModelParameter!$N$2*Iterasi4!A14+ModelParameter!$N$3*Iterasi4!B14+ModelParameter!$N$4</f>
        <v>22.7928</v>
      </c>
      <c r="E14" s="23">
        <f t="shared" si="0"/>
        <v>22.7928</v>
      </c>
      <c r="F14" s="20">
        <f t="shared" si="1"/>
        <v>0</v>
      </c>
      <c r="G14" s="29">
        <f t="shared" si="2"/>
        <v>0</v>
      </c>
      <c r="H14" s="29">
        <f t="shared" si="3"/>
        <v>0</v>
      </c>
      <c r="I14" s="29">
        <f t="shared" si="4"/>
        <v>0</v>
      </c>
    </row>
    <row r="15" spans="1:9" x14ac:dyDescent="0.35">
      <c r="A15" s="19">
        <v>77</v>
      </c>
      <c r="B15" s="19">
        <v>76</v>
      </c>
      <c r="C15" s="19">
        <v>1</v>
      </c>
      <c r="D15" s="23">
        <f>ModelParameter!$N$2*Iterasi4!A15+ModelParameter!$N$3*Iterasi4!B15+ModelParameter!$N$4</f>
        <v>21.268599999999999</v>
      </c>
      <c r="E15" s="23">
        <f t="shared" si="0"/>
        <v>21.268599999999999</v>
      </c>
      <c r="F15" s="20">
        <f t="shared" si="1"/>
        <v>0</v>
      </c>
      <c r="G15" s="29">
        <f t="shared" si="2"/>
        <v>0</v>
      </c>
      <c r="H15" s="29">
        <f t="shared" si="3"/>
        <v>0</v>
      </c>
      <c r="I15" s="29">
        <f t="shared" si="4"/>
        <v>0</v>
      </c>
    </row>
    <row r="16" spans="1:9" x14ac:dyDescent="0.35">
      <c r="A16" s="19">
        <v>84</v>
      </c>
      <c r="B16" s="19">
        <v>88</v>
      </c>
      <c r="C16" s="19">
        <v>1</v>
      </c>
      <c r="D16" s="23">
        <f>ModelParameter!$N$2*Iterasi4!A16+ModelParameter!$N$3*Iterasi4!B16+ModelParameter!$N$4</f>
        <v>23.901600000000002</v>
      </c>
      <c r="E16" s="23">
        <f t="shared" si="0"/>
        <v>23.901600000000002</v>
      </c>
      <c r="F16" s="20">
        <f t="shared" si="1"/>
        <v>0</v>
      </c>
      <c r="G16" s="29">
        <f t="shared" si="2"/>
        <v>0</v>
      </c>
      <c r="H16" s="29">
        <f t="shared" si="3"/>
        <v>0</v>
      </c>
      <c r="I16" s="29">
        <f t="shared" si="4"/>
        <v>0</v>
      </c>
    </row>
    <row r="17" spans="1:9" x14ac:dyDescent="0.35">
      <c r="A17" s="19">
        <v>65</v>
      </c>
      <c r="B17" s="19">
        <v>70</v>
      </c>
      <c r="C17" s="19">
        <v>-1</v>
      </c>
      <c r="D17" s="23">
        <f>ModelParameter!$N$2*Iterasi4!A17+ModelParameter!$N$3*Iterasi4!B17+ModelParameter!$N$4</f>
        <v>18.757000000000001</v>
      </c>
      <c r="E17" s="23">
        <f t="shared" si="0"/>
        <v>-18.757000000000001</v>
      </c>
      <c r="F17" s="20">
        <f t="shared" si="1"/>
        <v>19.757000000000001</v>
      </c>
      <c r="G17" s="29">
        <f t="shared" si="2"/>
        <v>65</v>
      </c>
      <c r="H17" s="29">
        <f t="shared" si="3"/>
        <v>70</v>
      </c>
      <c r="I17" s="29">
        <f t="shared" si="4"/>
        <v>1</v>
      </c>
    </row>
    <row r="18" spans="1:9" x14ac:dyDescent="0.35">
      <c r="A18" s="19">
        <v>60</v>
      </c>
      <c r="B18" s="19">
        <v>68</v>
      </c>
      <c r="C18" s="19">
        <v>-1</v>
      </c>
      <c r="D18" s="23">
        <f>ModelParameter!$N$2*Iterasi4!A18+ModelParameter!$N$3*Iterasi4!B18+ModelParameter!$N$4</f>
        <v>17.779200000000003</v>
      </c>
      <c r="E18" s="23">
        <f t="shared" si="0"/>
        <v>-17.779200000000003</v>
      </c>
      <c r="F18" s="20">
        <f t="shared" si="1"/>
        <v>18.779200000000003</v>
      </c>
      <c r="G18" s="29">
        <f t="shared" si="2"/>
        <v>60</v>
      </c>
      <c r="H18" s="29">
        <f t="shared" si="3"/>
        <v>68</v>
      </c>
      <c r="I18" s="29">
        <f t="shared" si="4"/>
        <v>1</v>
      </c>
    </row>
    <row r="19" spans="1:9" x14ac:dyDescent="0.35">
      <c r="A19" s="19">
        <v>55</v>
      </c>
      <c r="B19" s="19">
        <v>62</v>
      </c>
      <c r="C19" s="19">
        <v>-1</v>
      </c>
      <c r="D19" s="23">
        <f>ModelParameter!$N$2*Iterasi4!A19+ModelParameter!$N$3*Iterasi4!B19+ModelParameter!$N$4</f>
        <v>16.251800000000003</v>
      </c>
      <c r="E19" s="23">
        <f t="shared" si="0"/>
        <v>-16.251800000000003</v>
      </c>
      <c r="F19" s="20">
        <f t="shared" si="1"/>
        <v>17.251800000000003</v>
      </c>
      <c r="G19" s="29">
        <f t="shared" si="2"/>
        <v>55</v>
      </c>
      <c r="H19" s="29">
        <f t="shared" si="3"/>
        <v>62</v>
      </c>
      <c r="I19" s="29">
        <f t="shared" si="4"/>
        <v>1</v>
      </c>
    </row>
    <row r="20" spans="1:9" x14ac:dyDescent="0.35">
      <c r="A20" s="19">
        <v>72</v>
      </c>
      <c r="B20" s="19">
        <v>65</v>
      </c>
      <c r="C20" s="19">
        <v>-1</v>
      </c>
      <c r="D20" s="23">
        <f>ModelParameter!$N$2*Iterasi4!A20+ModelParameter!$N$3*Iterasi4!B20+ModelParameter!$N$4</f>
        <v>19.054200000000002</v>
      </c>
      <c r="E20" s="23">
        <f t="shared" si="0"/>
        <v>-19.054200000000002</v>
      </c>
      <c r="F20" s="20">
        <f t="shared" si="1"/>
        <v>20.054200000000002</v>
      </c>
      <c r="G20" s="29">
        <f t="shared" si="2"/>
        <v>72</v>
      </c>
      <c r="H20" s="29">
        <f t="shared" si="3"/>
        <v>65</v>
      </c>
      <c r="I20" s="29">
        <f t="shared" si="4"/>
        <v>1</v>
      </c>
    </row>
    <row r="21" spans="1:9" x14ac:dyDescent="0.35">
      <c r="A21" s="19">
        <v>58</v>
      </c>
      <c r="B21" s="19">
        <v>60</v>
      </c>
      <c r="C21" s="19">
        <v>-1</v>
      </c>
      <c r="D21" s="23">
        <f>ModelParameter!$N$2*Iterasi4!A21+ModelParameter!$N$3*Iterasi4!B21+ModelParameter!$N$4</f>
        <v>16.398800000000001</v>
      </c>
      <c r="E21" s="23">
        <f t="shared" si="0"/>
        <v>-16.398800000000001</v>
      </c>
      <c r="F21" s="20">
        <f t="shared" si="1"/>
        <v>17.398800000000001</v>
      </c>
      <c r="G21" s="29">
        <f t="shared" si="2"/>
        <v>58</v>
      </c>
      <c r="H21" s="29">
        <f t="shared" si="3"/>
        <v>60</v>
      </c>
      <c r="I21" s="29">
        <f t="shared" si="4"/>
        <v>1</v>
      </c>
    </row>
    <row r="22" spans="1:9" x14ac:dyDescent="0.35">
      <c r="A22" s="19">
        <v>62</v>
      </c>
      <c r="B22" s="19">
        <v>66</v>
      </c>
      <c r="C22" s="19">
        <v>-1</v>
      </c>
      <c r="D22" s="23">
        <f>ModelParameter!$N$2*Iterasi4!A22+ModelParameter!$N$3*Iterasi4!B22+ModelParameter!$N$4</f>
        <v>17.785600000000002</v>
      </c>
      <c r="E22" s="23">
        <f t="shared" si="0"/>
        <v>-17.785600000000002</v>
      </c>
      <c r="F22" s="20">
        <f t="shared" si="1"/>
        <v>18.785600000000002</v>
      </c>
      <c r="G22" s="29">
        <f t="shared" si="2"/>
        <v>62</v>
      </c>
      <c r="H22" s="29">
        <f t="shared" si="3"/>
        <v>66</v>
      </c>
      <c r="I22" s="29">
        <f t="shared" si="4"/>
        <v>1</v>
      </c>
    </row>
    <row r="23" spans="1:9" x14ac:dyDescent="0.35">
      <c r="A23" s="19">
        <v>67</v>
      </c>
      <c r="B23" s="19">
        <v>69</v>
      </c>
      <c r="C23" s="19">
        <v>-1</v>
      </c>
      <c r="D23" s="23">
        <f>ModelParameter!$N$2*Iterasi4!A23+ModelParameter!$N$3*Iterasi4!B23+ModelParameter!$N$4</f>
        <v>18.9008</v>
      </c>
      <c r="E23" s="23">
        <f t="shared" si="0"/>
        <v>-18.9008</v>
      </c>
      <c r="F23" s="20">
        <f t="shared" si="1"/>
        <v>19.9008</v>
      </c>
      <c r="G23" s="29">
        <f t="shared" si="2"/>
        <v>67</v>
      </c>
      <c r="H23" s="29">
        <f t="shared" si="3"/>
        <v>69</v>
      </c>
      <c r="I23" s="29">
        <f t="shared" si="4"/>
        <v>1</v>
      </c>
    </row>
    <row r="24" spans="1:9" x14ac:dyDescent="0.35">
      <c r="A24" s="19">
        <v>50</v>
      </c>
      <c r="B24" s="19">
        <v>55</v>
      </c>
      <c r="C24" s="19">
        <v>-1</v>
      </c>
      <c r="D24" s="23">
        <f>ModelParameter!$N$2*Iterasi4!A24+ModelParameter!$N$3*Iterasi4!B24+ModelParameter!$N$4</f>
        <v>14.587000000000002</v>
      </c>
      <c r="E24" s="23">
        <f t="shared" si="0"/>
        <v>-14.587000000000002</v>
      </c>
      <c r="F24" s="20">
        <f t="shared" si="1"/>
        <v>15.587000000000002</v>
      </c>
      <c r="G24" s="29">
        <f t="shared" si="2"/>
        <v>50</v>
      </c>
      <c r="H24" s="29">
        <f t="shared" si="3"/>
        <v>55</v>
      </c>
      <c r="I24" s="29">
        <f t="shared" si="4"/>
        <v>1</v>
      </c>
    </row>
    <row r="25" spans="1:9" x14ac:dyDescent="0.35">
      <c r="A25" s="19">
        <v>45</v>
      </c>
      <c r="B25" s="19">
        <v>52</v>
      </c>
      <c r="C25" s="19">
        <v>-1</v>
      </c>
      <c r="D25" s="23">
        <f>ModelParameter!$N$2*Iterasi4!A25+ModelParameter!$N$3*Iterasi4!B25+ModelParameter!$N$4</f>
        <v>13.471800000000002</v>
      </c>
      <c r="E25" s="23">
        <f t="shared" si="0"/>
        <v>-13.471800000000002</v>
      </c>
      <c r="F25" s="20">
        <f t="shared" si="1"/>
        <v>14.471800000000002</v>
      </c>
      <c r="G25" s="29">
        <f t="shared" si="2"/>
        <v>45</v>
      </c>
      <c r="H25" s="29">
        <f t="shared" si="3"/>
        <v>52</v>
      </c>
      <c r="I25" s="29">
        <f t="shared" si="4"/>
        <v>1</v>
      </c>
    </row>
    <row r="26" spans="1:9" x14ac:dyDescent="0.35">
      <c r="A26" s="19">
        <v>59</v>
      </c>
      <c r="B26" s="19">
        <v>63</v>
      </c>
      <c r="C26" s="19">
        <v>-1</v>
      </c>
      <c r="D26" s="23">
        <f>ModelParameter!$N$2*Iterasi4!A26+ModelParameter!$N$3*Iterasi4!B26+ModelParameter!$N$4</f>
        <v>16.951600000000003</v>
      </c>
      <c r="E26" s="23">
        <f t="shared" si="0"/>
        <v>-16.951600000000003</v>
      </c>
      <c r="F26" s="20">
        <f t="shared" si="1"/>
        <v>17.951600000000003</v>
      </c>
      <c r="G26" s="29">
        <f t="shared" si="2"/>
        <v>59</v>
      </c>
      <c r="H26" s="29">
        <f t="shared" si="3"/>
        <v>63</v>
      </c>
      <c r="I26" s="29">
        <f t="shared" si="4"/>
        <v>1</v>
      </c>
    </row>
    <row r="27" spans="1:9" x14ac:dyDescent="0.35">
      <c r="A27" s="19">
        <v>64</v>
      </c>
      <c r="B27" s="19">
        <v>67</v>
      </c>
      <c r="C27" s="19">
        <v>-1</v>
      </c>
      <c r="D27" s="23">
        <f>ModelParameter!$N$2*Iterasi4!A27+ModelParameter!$N$3*Iterasi4!B27+ModelParameter!$N$4</f>
        <v>18.2042</v>
      </c>
      <c r="E27" s="23">
        <f t="shared" si="0"/>
        <v>-18.2042</v>
      </c>
      <c r="F27" s="20">
        <f t="shared" si="1"/>
        <v>19.2042</v>
      </c>
      <c r="G27" s="29">
        <f t="shared" si="2"/>
        <v>64</v>
      </c>
      <c r="H27" s="29">
        <f t="shared" si="3"/>
        <v>67</v>
      </c>
      <c r="I27" s="29">
        <f t="shared" si="4"/>
        <v>1</v>
      </c>
    </row>
    <row r="28" spans="1:9" x14ac:dyDescent="0.35">
      <c r="A28" s="19">
        <v>68</v>
      </c>
      <c r="B28" s="19">
        <v>64</v>
      </c>
      <c r="C28" s="19">
        <v>-1</v>
      </c>
      <c r="D28" s="23">
        <f>ModelParameter!$N$2*Iterasi4!A28+ModelParameter!$N$3*Iterasi4!B28+ModelParameter!$N$4</f>
        <v>18.354400000000002</v>
      </c>
      <c r="E28" s="23">
        <f t="shared" si="0"/>
        <v>-18.354400000000002</v>
      </c>
      <c r="F28" s="20">
        <f t="shared" si="1"/>
        <v>19.354400000000002</v>
      </c>
      <c r="G28" s="29">
        <f t="shared" si="2"/>
        <v>68</v>
      </c>
      <c r="H28" s="29">
        <f t="shared" si="3"/>
        <v>64</v>
      </c>
      <c r="I28" s="29">
        <f t="shared" si="4"/>
        <v>1</v>
      </c>
    </row>
    <row r="29" spans="1:9" x14ac:dyDescent="0.35">
      <c r="A29" s="19">
        <v>57</v>
      </c>
      <c r="B29" s="19">
        <v>59</v>
      </c>
      <c r="C29" s="19">
        <v>-1</v>
      </c>
      <c r="D29" s="23">
        <f>ModelParameter!$N$2*Iterasi4!A29+ModelParameter!$N$3*Iterasi4!B29+ModelParameter!$N$4</f>
        <v>16.120800000000003</v>
      </c>
      <c r="E29" s="23">
        <f t="shared" si="0"/>
        <v>-16.120800000000003</v>
      </c>
      <c r="F29" s="20">
        <f t="shared" si="1"/>
        <v>17.120800000000003</v>
      </c>
      <c r="G29" s="29">
        <f t="shared" si="2"/>
        <v>57</v>
      </c>
      <c r="H29" s="29">
        <f t="shared" si="3"/>
        <v>59</v>
      </c>
      <c r="I29" s="29">
        <f t="shared" si="4"/>
        <v>1</v>
      </c>
    </row>
    <row r="30" spans="1:9" x14ac:dyDescent="0.35">
      <c r="A30" s="19">
        <v>61</v>
      </c>
      <c r="B30" s="19">
        <v>65</v>
      </c>
      <c r="C30" s="19">
        <v>-1</v>
      </c>
      <c r="D30" s="23">
        <f>ModelParameter!$N$2*Iterasi4!A30+ModelParameter!$N$3*Iterasi4!B30+ModelParameter!$N$4</f>
        <v>17.507600000000004</v>
      </c>
      <c r="E30" s="23">
        <f t="shared" si="0"/>
        <v>-17.507600000000004</v>
      </c>
      <c r="F30" s="20">
        <f t="shared" si="1"/>
        <v>18.507600000000004</v>
      </c>
      <c r="G30" s="29">
        <f t="shared" si="2"/>
        <v>61</v>
      </c>
      <c r="H30" s="29">
        <f t="shared" si="3"/>
        <v>65</v>
      </c>
      <c r="I30" s="29">
        <f t="shared" si="4"/>
        <v>1</v>
      </c>
    </row>
    <row r="31" spans="1:9" x14ac:dyDescent="0.35">
      <c r="A31" s="19">
        <v>53</v>
      </c>
      <c r="B31" s="19">
        <v>58</v>
      </c>
      <c r="C31" s="19">
        <v>-1</v>
      </c>
      <c r="D31" s="23">
        <f>ModelParameter!$N$2*Iterasi4!A31+ModelParameter!$N$3*Iterasi4!B31+ModelParameter!$N$4</f>
        <v>15.421000000000003</v>
      </c>
      <c r="E31" s="23">
        <f t="shared" si="0"/>
        <v>-15.421000000000003</v>
      </c>
      <c r="F31" s="20">
        <f t="shared" si="1"/>
        <v>16.421000000000003</v>
      </c>
      <c r="G31" s="29">
        <f t="shared" si="2"/>
        <v>53</v>
      </c>
      <c r="H31" s="29">
        <f t="shared" si="3"/>
        <v>58</v>
      </c>
      <c r="I31" s="29">
        <f t="shared" si="4"/>
        <v>1</v>
      </c>
    </row>
    <row r="32" spans="1:9" x14ac:dyDescent="0.35">
      <c r="A32" s="19">
        <v>82</v>
      </c>
      <c r="B32" s="19">
        <v>87</v>
      </c>
      <c r="C32" s="19">
        <v>1</v>
      </c>
      <c r="D32" s="23">
        <f>ModelParameter!$N$2*Iterasi4!A32+ModelParameter!$N$3*Iterasi4!B32+ModelParameter!$N$4</f>
        <v>23.483000000000001</v>
      </c>
      <c r="E32" s="23">
        <f t="shared" si="0"/>
        <v>23.483000000000001</v>
      </c>
      <c r="F32" s="20">
        <f t="shared" si="1"/>
        <v>0</v>
      </c>
      <c r="G32" s="29">
        <f t="shared" si="2"/>
        <v>0</v>
      </c>
      <c r="H32" s="29">
        <f t="shared" si="3"/>
        <v>0</v>
      </c>
      <c r="I32" s="29">
        <f t="shared" si="4"/>
        <v>0</v>
      </c>
    </row>
    <row r="33" spans="1:9" x14ac:dyDescent="0.35">
      <c r="A33" s="19">
        <v>79</v>
      </c>
      <c r="B33" s="19">
        <v>81</v>
      </c>
      <c r="C33" s="19">
        <v>1</v>
      </c>
      <c r="D33" s="23">
        <f>ModelParameter!$N$2*Iterasi4!A33+ModelParameter!$N$3*Iterasi4!B33+ModelParameter!$N$4</f>
        <v>22.236800000000002</v>
      </c>
      <c r="E33" s="23">
        <f t="shared" si="0"/>
        <v>22.236800000000002</v>
      </c>
      <c r="F33" s="20">
        <f t="shared" si="1"/>
        <v>0</v>
      </c>
      <c r="G33" s="29">
        <f t="shared" si="2"/>
        <v>0</v>
      </c>
      <c r="H33" s="29">
        <f t="shared" si="3"/>
        <v>0</v>
      </c>
      <c r="I33" s="29">
        <f t="shared" si="4"/>
        <v>0</v>
      </c>
    </row>
    <row r="34" spans="1:9" x14ac:dyDescent="0.35">
      <c r="A34" s="19">
        <v>86</v>
      </c>
      <c r="B34" s="19">
        <v>90</v>
      </c>
      <c r="C34" s="19">
        <v>1</v>
      </c>
      <c r="D34" s="23">
        <f>ModelParameter!$N$2*Iterasi4!A34+ModelParameter!$N$3*Iterasi4!B34+ModelParameter!$N$4</f>
        <v>24.457599999999999</v>
      </c>
      <c r="E34" s="23">
        <f t="shared" si="0"/>
        <v>24.457599999999999</v>
      </c>
      <c r="F34" s="20">
        <f t="shared" si="1"/>
        <v>0</v>
      </c>
      <c r="G34" s="29">
        <f t="shared" si="2"/>
        <v>0</v>
      </c>
      <c r="H34" s="29">
        <f t="shared" si="3"/>
        <v>0</v>
      </c>
      <c r="I34" s="29">
        <f t="shared" si="4"/>
        <v>0</v>
      </c>
    </row>
    <row r="35" spans="1:9" x14ac:dyDescent="0.35">
      <c r="A35" s="19">
        <v>73</v>
      </c>
      <c r="B35" s="19">
        <v>77</v>
      </c>
      <c r="C35" s="19">
        <v>1</v>
      </c>
      <c r="D35" s="23">
        <f>ModelParameter!$N$2*Iterasi4!A35+ModelParameter!$N$3*Iterasi4!B35+ModelParameter!$N$4</f>
        <v>20.843600000000002</v>
      </c>
      <c r="E35" s="23">
        <f t="shared" si="0"/>
        <v>20.843600000000002</v>
      </c>
      <c r="F35" s="20">
        <f t="shared" si="1"/>
        <v>0</v>
      </c>
      <c r="G35" s="29">
        <f t="shared" si="2"/>
        <v>0</v>
      </c>
      <c r="H35" s="29">
        <f t="shared" si="3"/>
        <v>0</v>
      </c>
      <c r="I35" s="29">
        <f t="shared" si="4"/>
        <v>0</v>
      </c>
    </row>
    <row r="36" spans="1:9" x14ac:dyDescent="0.35">
      <c r="A36" s="19">
        <v>75</v>
      </c>
      <c r="B36" s="19">
        <v>79</v>
      </c>
      <c r="C36" s="19">
        <v>1</v>
      </c>
      <c r="D36" s="23">
        <f>ModelParameter!$N$2*Iterasi4!A36+ModelParameter!$N$3*Iterasi4!B36+ModelParameter!$N$4</f>
        <v>21.3996</v>
      </c>
      <c r="E36" s="23">
        <f t="shared" si="0"/>
        <v>21.3996</v>
      </c>
      <c r="F36" s="20">
        <f t="shared" si="1"/>
        <v>0</v>
      </c>
      <c r="G36" s="29">
        <f t="shared" si="2"/>
        <v>0</v>
      </c>
      <c r="H36" s="29">
        <f t="shared" si="3"/>
        <v>0</v>
      </c>
      <c r="I36" s="29">
        <f t="shared" si="4"/>
        <v>0</v>
      </c>
    </row>
    <row r="37" spans="1:9" x14ac:dyDescent="0.35">
      <c r="A37" s="19">
        <v>48</v>
      </c>
      <c r="B37" s="19">
        <v>50</v>
      </c>
      <c r="C37" s="19">
        <v>-1</v>
      </c>
      <c r="D37" s="23">
        <f>ModelParameter!$N$2*Iterasi4!A37+ModelParameter!$N$3*Iterasi4!B37+ModelParameter!$N$4</f>
        <v>13.6188</v>
      </c>
      <c r="E37" s="23">
        <f t="shared" si="0"/>
        <v>-13.6188</v>
      </c>
      <c r="F37" s="20">
        <f t="shared" si="1"/>
        <v>14.6188</v>
      </c>
      <c r="G37" s="29">
        <f t="shared" si="2"/>
        <v>48</v>
      </c>
      <c r="H37" s="29">
        <f t="shared" si="3"/>
        <v>50</v>
      </c>
      <c r="I37" s="29">
        <f t="shared" si="4"/>
        <v>1</v>
      </c>
    </row>
    <row r="38" spans="1:9" x14ac:dyDescent="0.35">
      <c r="A38" s="19">
        <v>52</v>
      </c>
      <c r="B38" s="19">
        <v>54</v>
      </c>
      <c r="C38" s="19">
        <v>-1</v>
      </c>
      <c r="D38" s="23">
        <f>ModelParameter!$N$2*Iterasi4!A38+ModelParameter!$N$3*Iterasi4!B38+ModelParameter!$N$4</f>
        <v>14.730800000000002</v>
      </c>
      <c r="E38" s="23">
        <f t="shared" si="0"/>
        <v>-14.730800000000002</v>
      </c>
      <c r="F38" s="20">
        <f t="shared" si="1"/>
        <v>15.730800000000002</v>
      </c>
      <c r="G38" s="29">
        <f t="shared" si="2"/>
        <v>52</v>
      </c>
      <c r="H38" s="29">
        <f t="shared" si="3"/>
        <v>54</v>
      </c>
      <c r="I38" s="29">
        <f t="shared" si="4"/>
        <v>1</v>
      </c>
    </row>
    <row r="39" spans="1:9" x14ac:dyDescent="0.35">
      <c r="A39" s="19">
        <v>56</v>
      </c>
      <c r="B39" s="19">
        <v>57</v>
      </c>
      <c r="C39" s="19">
        <v>-1</v>
      </c>
      <c r="D39" s="23">
        <f>ModelParameter!$N$2*Iterasi4!A39+ModelParameter!$N$3*Iterasi4!B39+ModelParameter!$N$4</f>
        <v>15.705400000000001</v>
      </c>
      <c r="E39" s="23">
        <f t="shared" si="0"/>
        <v>-15.705400000000001</v>
      </c>
      <c r="F39" s="20">
        <f t="shared" si="1"/>
        <v>16.705400000000001</v>
      </c>
      <c r="G39" s="29">
        <f t="shared" si="2"/>
        <v>56</v>
      </c>
      <c r="H39" s="29">
        <f t="shared" si="3"/>
        <v>57</v>
      </c>
      <c r="I39" s="29">
        <f t="shared" si="4"/>
        <v>1</v>
      </c>
    </row>
    <row r="40" spans="1:9" x14ac:dyDescent="0.35">
      <c r="A40" s="19">
        <v>63</v>
      </c>
      <c r="B40" s="19">
        <v>60</v>
      </c>
      <c r="C40" s="19">
        <v>-1</v>
      </c>
      <c r="D40" s="23">
        <f>ModelParameter!$N$2*Iterasi4!A40+ModelParameter!$N$3*Iterasi4!B40+ModelParameter!$N$4</f>
        <v>17.101800000000004</v>
      </c>
      <c r="E40" s="23">
        <f t="shared" si="0"/>
        <v>-17.101800000000004</v>
      </c>
      <c r="F40" s="20">
        <f t="shared" si="1"/>
        <v>18.101800000000004</v>
      </c>
      <c r="G40" s="29">
        <f t="shared" si="2"/>
        <v>63</v>
      </c>
      <c r="H40" s="29">
        <f t="shared" si="3"/>
        <v>60</v>
      </c>
      <c r="I40" s="29">
        <f t="shared" si="4"/>
        <v>1</v>
      </c>
    </row>
    <row r="41" spans="1:9" x14ac:dyDescent="0.35">
      <c r="A41" s="19">
        <v>66</v>
      </c>
      <c r="B41" s="19">
        <v>68</v>
      </c>
      <c r="C41" s="19">
        <v>1</v>
      </c>
      <c r="D41" s="23">
        <f>ModelParameter!$N$2*Iterasi4!A41+ModelParameter!$N$3*Iterasi4!B41+ModelParameter!$N$4</f>
        <v>18.622800000000002</v>
      </c>
      <c r="E41" s="23">
        <f t="shared" si="0"/>
        <v>18.622800000000002</v>
      </c>
      <c r="F41" s="20">
        <f t="shared" si="1"/>
        <v>0</v>
      </c>
      <c r="G41" s="29">
        <f t="shared" si="2"/>
        <v>0</v>
      </c>
      <c r="H41" s="29">
        <f t="shared" si="3"/>
        <v>0</v>
      </c>
      <c r="I41" s="29">
        <f t="shared" si="4"/>
        <v>0</v>
      </c>
    </row>
    <row r="42" spans="1:9" x14ac:dyDescent="0.35">
      <c r="A42" s="19">
        <v>69</v>
      </c>
      <c r="B42" s="19">
        <v>71</v>
      </c>
      <c r="C42" s="19">
        <v>1</v>
      </c>
      <c r="D42" s="23">
        <f>ModelParameter!$N$2*Iterasi4!A42+ModelParameter!$N$3*Iterasi4!B42+ModelParameter!$N$4</f>
        <v>19.456800000000001</v>
      </c>
      <c r="E42" s="23">
        <f t="shared" si="0"/>
        <v>19.456800000000001</v>
      </c>
      <c r="F42" s="20">
        <f t="shared" si="1"/>
        <v>0</v>
      </c>
      <c r="G42" s="29">
        <f t="shared" si="2"/>
        <v>0</v>
      </c>
      <c r="H42" s="29">
        <f t="shared" si="3"/>
        <v>0</v>
      </c>
      <c r="I42" s="29">
        <f t="shared" si="4"/>
        <v>0</v>
      </c>
    </row>
    <row r="43" spans="1:9" x14ac:dyDescent="0.35">
      <c r="A43" s="19">
        <v>71</v>
      </c>
      <c r="B43" s="19">
        <v>74</v>
      </c>
      <c r="C43" s="19">
        <v>1</v>
      </c>
      <c r="D43" s="23">
        <f>ModelParameter!$N$2*Iterasi4!A43+ModelParameter!$N$3*Iterasi4!B43+ModelParameter!$N$4</f>
        <v>20.150200000000002</v>
      </c>
      <c r="E43" s="23">
        <f t="shared" si="0"/>
        <v>20.150200000000002</v>
      </c>
      <c r="F43" s="20">
        <f t="shared" si="1"/>
        <v>0</v>
      </c>
      <c r="G43" s="29">
        <f t="shared" si="2"/>
        <v>0</v>
      </c>
      <c r="H43" s="29">
        <f t="shared" si="3"/>
        <v>0</v>
      </c>
      <c r="I43" s="29">
        <f t="shared" si="4"/>
        <v>0</v>
      </c>
    </row>
    <row r="44" spans="1:9" x14ac:dyDescent="0.35">
      <c r="A44" s="19">
        <v>54</v>
      </c>
      <c r="B44" s="19">
        <v>56</v>
      </c>
      <c r="C44" s="19">
        <v>-1</v>
      </c>
      <c r="D44" s="23">
        <f>ModelParameter!$N$2*Iterasi4!A44+ModelParameter!$N$3*Iterasi4!B44+ModelParameter!$N$4</f>
        <v>15.286800000000003</v>
      </c>
      <c r="E44" s="23">
        <f t="shared" si="0"/>
        <v>-15.286800000000003</v>
      </c>
      <c r="F44" s="20">
        <f t="shared" si="1"/>
        <v>16.286800000000003</v>
      </c>
      <c r="G44" s="29">
        <f t="shared" si="2"/>
        <v>54</v>
      </c>
      <c r="H44" s="29">
        <f t="shared" si="3"/>
        <v>56</v>
      </c>
      <c r="I44" s="29">
        <f t="shared" si="4"/>
        <v>1</v>
      </c>
    </row>
    <row r="45" spans="1:9" x14ac:dyDescent="0.35">
      <c r="A45" s="19">
        <v>47</v>
      </c>
      <c r="B45" s="19">
        <v>49</v>
      </c>
      <c r="C45" s="19">
        <v>-1</v>
      </c>
      <c r="D45" s="23">
        <f>ModelParameter!$N$2*Iterasi4!A45+ModelParameter!$N$3*Iterasi4!B45+ModelParameter!$N$4</f>
        <v>13.340800000000002</v>
      </c>
      <c r="E45" s="23">
        <f t="shared" si="0"/>
        <v>-13.340800000000002</v>
      </c>
      <c r="F45" s="20">
        <f t="shared" si="1"/>
        <v>14.340800000000002</v>
      </c>
      <c r="G45" s="29">
        <f t="shared" si="2"/>
        <v>47</v>
      </c>
      <c r="H45" s="29">
        <f t="shared" si="3"/>
        <v>49</v>
      </c>
      <c r="I45" s="29">
        <f t="shared" si="4"/>
        <v>1</v>
      </c>
    </row>
    <row r="46" spans="1:9" x14ac:dyDescent="0.35">
      <c r="A46" s="19">
        <v>51</v>
      </c>
      <c r="B46" s="19">
        <v>53</v>
      </c>
      <c r="C46" s="19">
        <v>-1</v>
      </c>
      <c r="D46" s="23">
        <f>ModelParameter!$N$2*Iterasi4!A46+ModelParameter!$N$3*Iterasi4!B46+ModelParameter!$N$4</f>
        <v>14.452800000000002</v>
      </c>
      <c r="E46" s="23">
        <f t="shared" si="0"/>
        <v>-14.452800000000002</v>
      </c>
      <c r="F46" s="20">
        <f t="shared" si="1"/>
        <v>15.452800000000002</v>
      </c>
      <c r="G46" s="29">
        <f t="shared" si="2"/>
        <v>51</v>
      </c>
      <c r="H46" s="29">
        <f t="shared" si="3"/>
        <v>53</v>
      </c>
      <c r="I46" s="29">
        <f t="shared" si="4"/>
        <v>1</v>
      </c>
    </row>
    <row r="47" spans="1:9" x14ac:dyDescent="0.35">
      <c r="A47" s="19">
        <v>80</v>
      </c>
      <c r="B47" s="19">
        <v>78</v>
      </c>
      <c r="C47" s="19">
        <v>1</v>
      </c>
      <c r="D47" s="23">
        <f>ModelParameter!$N$2*Iterasi4!A47+ModelParameter!$N$3*Iterasi4!B47+ModelParameter!$N$4</f>
        <v>21.965200000000003</v>
      </c>
      <c r="E47" s="23">
        <f t="shared" si="0"/>
        <v>21.965200000000003</v>
      </c>
      <c r="F47" s="20">
        <f t="shared" si="1"/>
        <v>0</v>
      </c>
      <c r="G47" s="29">
        <f t="shared" si="2"/>
        <v>0</v>
      </c>
      <c r="H47" s="29">
        <f t="shared" si="3"/>
        <v>0</v>
      </c>
      <c r="I47" s="29">
        <f t="shared" si="4"/>
        <v>0</v>
      </c>
    </row>
    <row r="48" spans="1:9" x14ac:dyDescent="0.35">
      <c r="A48" s="19">
        <v>85</v>
      </c>
      <c r="B48" s="19">
        <v>83</v>
      </c>
      <c r="C48" s="19">
        <v>1</v>
      </c>
      <c r="D48" s="23">
        <f>ModelParameter!$N$2*Iterasi4!A48+ModelParameter!$N$3*Iterasi4!B48+ModelParameter!$N$4</f>
        <v>23.355200000000004</v>
      </c>
      <c r="E48" s="23">
        <f t="shared" si="0"/>
        <v>23.355200000000004</v>
      </c>
      <c r="F48" s="20">
        <f t="shared" si="1"/>
        <v>0</v>
      </c>
      <c r="G48" s="29">
        <f t="shared" si="2"/>
        <v>0</v>
      </c>
      <c r="H48" s="29">
        <f t="shared" si="3"/>
        <v>0</v>
      </c>
      <c r="I48" s="29">
        <f t="shared" si="4"/>
        <v>0</v>
      </c>
    </row>
    <row r="49" spans="1:9" x14ac:dyDescent="0.35">
      <c r="A49" s="19">
        <v>58</v>
      </c>
      <c r="B49" s="19">
        <v>61</v>
      </c>
      <c r="C49" s="19">
        <v>-1</v>
      </c>
      <c r="D49" s="23">
        <f>ModelParameter!$N$2*Iterasi4!A49+ModelParameter!$N$3*Iterasi4!B49+ModelParameter!$N$4</f>
        <v>16.536200000000001</v>
      </c>
      <c r="E49" s="23">
        <f t="shared" si="0"/>
        <v>-16.536200000000001</v>
      </c>
      <c r="F49" s="20">
        <f t="shared" si="1"/>
        <v>17.536200000000001</v>
      </c>
      <c r="G49" s="29">
        <f t="shared" si="2"/>
        <v>58</v>
      </c>
      <c r="H49" s="29">
        <f t="shared" si="3"/>
        <v>61</v>
      </c>
      <c r="I49" s="29">
        <f t="shared" si="4"/>
        <v>1</v>
      </c>
    </row>
    <row r="50" spans="1:9" x14ac:dyDescent="0.35">
      <c r="A50" s="19">
        <v>62</v>
      </c>
      <c r="B50" s="19">
        <v>64</v>
      </c>
      <c r="C50" s="19">
        <v>-1</v>
      </c>
      <c r="D50" s="23">
        <f>ModelParameter!$N$2*Iterasi4!A50+ModelParameter!$N$3*Iterasi4!B50+ModelParameter!$N$4</f>
        <v>17.510800000000003</v>
      </c>
      <c r="E50" s="23">
        <f t="shared" si="0"/>
        <v>-17.510800000000003</v>
      </c>
      <c r="F50" s="20">
        <f t="shared" si="1"/>
        <v>18.510800000000003</v>
      </c>
      <c r="G50" s="29">
        <f t="shared" si="2"/>
        <v>62</v>
      </c>
      <c r="H50" s="29">
        <f t="shared" si="3"/>
        <v>64</v>
      </c>
      <c r="I50" s="29">
        <f t="shared" si="4"/>
        <v>1</v>
      </c>
    </row>
    <row r="51" spans="1:9" x14ac:dyDescent="0.35">
      <c r="A51" s="19">
        <v>90</v>
      </c>
      <c r="B51" s="19">
        <v>92</v>
      </c>
      <c r="C51" s="19">
        <v>1</v>
      </c>
      <c r="D51" s="23">
        <f>ModelParameter!$N$2*Iterasi4!A51+ModelParameter!$N$3*Iterasi4!B51+ModelParameter!$N$4</f>
        <v>25.294800000000002</v>
      </c>
      <c r="E51" s="23">
        <f t="shared" si="0"/>
        <v>25.294800000000002</v>
      </c>
      <c r="F51" s="20">
        <f t="shared" si="1"/>
        <v>0</v>
      </c>
      <c r="G51" s="29">
        <f t="shared" si="2"/>
        <v>0</v>
      </c>
      <c r="H51" s="29">
        <f t="shared" si="3"/>
        <v>0</v>
      </c>
      <c r="I51" s="29">
        <f t="shared" si="4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FD83-BAF0-4CD2-80F9-18D56A13FB11}">
  <dimension ref="A1:I51"/>
  <sheetViews>
    <sheetView zoomScale="63" workbookViewId="0">
      <selection activeCell="M20" sqref="M20"/>
    </sheetView>
  </sheetViews>
  <sheetFormatPr defaultRowHeight="14.5" x14ac:dyDescent="0.35"/>
  <sheetData>
    <row r="1" spans="1:9" x14ac:dyDescent="0.35">
      <c r="A1" s="22" t="s">
        <v>0</v>
      </c>
      <c r="B1" s="22" t="s">
        <v>1</v>
      </c>
      <c r="C1" s="22" t="s">
        <v>2</v>
      </c>
      <c r="D1" s="30" t="s">
        <v>3</v>
      </c>
      <c r="E1" s="30" t="s">
        <v>4</v>
      </c>
      <c r="F1" s="25" t="s">
        <v>5</v>
      </c>
      <c r="G1" s="26" t="s">
        <v>6</v>
      </c>
      <c r="H1" s="26" t="s">
        <v>7</v>
      </c>
      <c r="I1" s="26" t="s">
        <v>8</v>
      </c>
    </row>
    <row r="2" spans="1:9" x14ac:dyDescent="0.35">
      <c r="A2" s="19">
        <v>85</v>
      </c>
      <c r="B2" s="19">
        <v>88</v>
      </c>
      <c r="C2" s="19">
        <v>1</v>
      </c>
      <c r="D2" s="23">
        <f>ModelParameter!$R$2*Iterasi5!A2+ModelParameter!$R$3*Iterasi5!B2+ModelParameter!$R$4</f>
        <v>-0.47849999999999887</v>
      </c>
      <c r="E2" s="23">
        <f>C2*D2</f>
        <v>-0.47849999999999887</v>
      </c>
      <c r="F2" s="20">
        <f>MAX(0, 1 - E2)</f>
        <v>1.4784999999999988</v>
      </c>
      <c r="G2" s="29">
        <f>IF(E2&gt;=1, 0, -C2*A2)</f>
        <v>-85</v>
      </c>
      <c r="H2" s="29">
        <f>IF(E2&gt;=1, 0, -C2*B2)</f>
        <v>-88</v>
      </c>
      <c r="I2" s="29">
        <f>IF(E2&gt;=1, 0, -C2)</f>
        <v>-1</v>
      </c>
    </row>
    <row r="3" spans="1:9" x14ac:dyDescent="0.35">
      <c r="A3" s="19">
        <v>78</v>
      </c>
      <c r="B3" s="19">
        <v>82</v>
      </c>
      <c r="C3" s="19">
        <v>1</v>
      </c>
      <c r="D3" s="23">
        <f>ModelParameter!$R$2*Iterasi5!A3+ModelParameter!$R$3*Iterasi5!B3+ModelParameter!$R$4</f>
        <v>-0.44799999999999895</v>
      </c>
      <c r="E3" s="23">
        <f t="shared" ref="E3:E51" si="0">C3*D3</f>
        <v>-0.44799999999999895</v>
      </c>
      <c r="F3" s="20">
        <f t="shared" ref="F3:F51" si="1">MAX(0, 1 - E3)</f>
        <v>1.4479999999999991</v>
      </c>
      <c r="G3" s="29">
        <f t="shared" ref="G3:G51" si="2">IF(E3&gt;=1, 0, -C3*A3)</f>
        <v>-78</v>
      </c>
      <c r="H3" s="29">
        <f t="shared" ref="H3:H51" si="3">IF(E3&gt;=1, 0, -C3*B3)</f>
        <v>-82</v>
      </c>
      <c r="I3" s="29">
        <f t="shared" ref="I3:I51" si="4">IF(E3&gt;=1, 0, -C3)</f>
        <v>-1</v>
      </c>
    </row>
    <row r="4" spans="1:9" x14ac:dyDescent="0.35">
      <c r="A4" s="19">
        <v>90</v>
      </c>
      <c r="B4" s="19">
        <v>91</v>
      </c>
      <c r="C4" s="19">
        <v>1</v>
      </c>
      <c r="D4" s="23">
        <f>ModelParameter!$R$2*Iterasi5!A4+ModelParameter!$R$3*Iterasi5!B4+ModelParameter!$R$4</f>
        <v>-0.49089999999999889</v>
      </c>
      <c r="E4" s="23">
        <f t="shared" si="0"/>
        <v>-0.49089999999999889</v>
      </c>
      <c r="F4" s="20">
        <f t="shared" si="1"/>
        <v>1.490899999999999</v>
      </c>
      <c r="G4" s="29">
        <f t="shared" si="2"/>
        <v>-90</v>
      </c>
      <c r="H4" s="29">
        <f t="shared" si="3"/>
        <v>-91</v>
      </c>
      <c r="I4" s="29">
        <f t="shared" si="4"/>
        <v>-1</v>
      </c>
    </row>
    <row r="5" spans="1:9" x14ac:dyDescent="0.35">
      <c r="A5" s="19">
        <v>70</v>
      </c>
      <c r="B5" s="19">
        <v>75</v>
      </c>
      <c r="C5" s="19">
        <v>1</v>
      </c>
      <c r="D5" s="23">
        <f>ModelParameter!$R$2*Iterasi5!A5+ModelParameter!$R$3*Iterasi5!B5+ModelParameter!$R$4</f>
        <v>-0.41209999999999902</v>
      </c>
      <c r="E5" s="23">
        <f t="shared" si="0"/>
        <v>-0.41209999999999902</v>
      </c>
      <c r="F5" s="20">
        <f t="shared" si="1"/>
        <v>1.412099999999999</v>
      </c>
      <c r="G5" s="29">
        <f t="shared" si="2"/>
        <v>-70</v>
      </c>
      <c r="H5" s="29">
        <f t="shared" si="3"/>
        <v>-75</v>
      </c>
      <c r="I5" s="29">
        <f t="shared" si="4"/>
        <v>-1</v>
      </c>
    </row>
    <row r="6" spans="1:9" x14ac:dyDescent="0.35">
      <c r="A6" s="19">
        <v>88</v>
      </c>
      <c r="B6" s="19">
        <v>84</v>
      </c>
      <c r="C6" s="19">
        <v>1</v>
      </c>
      <c r="D6" s="23">
        <f>ModelParameter!$R$2*Iterasi5!A6+ModelParameter!$R$3*Iterasi5!B6+ModelParameter!$R$4</f>
        <v>-0.44359999999999905</v>
      </c>
      <c r="E6" s="23">
        <f t="shared" si="0"/>
        <v>-0.44359999999999905</v>
      </c>
      <c r="F6" s="20">
        <f t="shared" si="1"/>
        <v>1.4435999999999991</v>
      </c>
      <c r="G6" s="29">
        <f t="shared" si="2"/>
        <v>-88</v>
      </c>
      <c r="H6" s="29">
        <f t="shared" si="3"/>
        <v>-84</v>
      </c>
      <c r="I6" s="29">
        <f t="shared" si="4"/>
        <v>-1</v>
      </c>
    </row>
    <row r="7" spans="1:9" x14ac:dyDescent="0.35">
      <c r="A7" s="19">
        <v>92</v>
      </c>
      <c r="B7" s="19">
        <v>89</v>
      </c>
      <c r="C7" s="19">
        <v>1</v>
      </c>
      <c r="D7" s="23">
        <f>ModelParameter!$R$2*Iterasi5!A7+ModelParameter!$R$3*Iterasi5!B7+ModelParameter!$R$4</f>
        <v>-0.47249999999999898</v>
      </c>
      <c r="E7" s="23">
        <f t="shared" si="0"/>
        <v>-0.47249999999999898</v>
      </c>
      <c r="F7" s="20">
        <f t="shared" si="1"/>
        <v>1.472499999999999</v>
      </c>
      <c r="G7" s="29">
        <f t="shared" si="2"/>
        <v>-92</v>
      </c>
      <c r="H7" s="29">
        <f t="shared" si="3"/>
        <v>-89</v>
      </c>
      <c r="I7" s="29">
        <f t="shared" si="4"/>
        <v>-1</v>
      </c>
    </row>
    <row r="8" spans="1:9" x14ac:dyDescent="0.35">
      <c r="A8" s="19">
        <v>76</v>
      </c>
      <c r="B8" s="19">
        <v>80</v>
      </c>
      <c r="C8" s="19">
        <v>1</v>
      </c>
      <c r="D8" s="23">
        <f>ModelParameter!$R$2*Iterasi5!A8+ModelParameter!$R$3*Iterasi5!B8+ModelParameter!$R$4</f>
        <v>-0.43719999999999898</v>
      </c>
      <c r="E8" s="23">
        <f t="shared" si="0"/>
        <v>-0.43719999999999898</v>
      </c>
      <c r="F8" s="20">
        <f t="shared" si="1"/>
        <v>1.4371999999999989</v>
      </c>
      <c r="G8" s="29">
        <f t="shared" si="2"/>
        <v>-76</v>
      </c>
      <c r="H8" s="29">
        <f t="shared" si="3"/>
        <v>-80</v>
      </c>
      <c r="I8" s="29">
        <f t="shared" si="4"/>
        <v>-1</v>
      </c>
    </row>
    <row r="9" spans="1:9" x14ac:dyDescent="0.35">
      <c r="A9" s="19">
        <v>83</v>
      </c>
      <c r="B9" s="19">
        <v>79</v>
      </c>
      <c r="C9" s="19">
        <v>1</v>
      </c>
      <c r="D9" s="23">
        <f>ModelParameter!$R$2*Iterasi5!A9+ModelParameter!$R$3*Iterasi5!B9+ModelParameter!$R$4</f>
        <v>-0.41659999999999914</v>
      </c>
      <c r="E9" s="23">
        <f t="shared" si="0"/>
        <v>-0.41659999999999914</v>
      </c>
      <c r="F9" s="20">
        <f t="shared" si="1"/>
        <v>1.4165999999999992</v>
      </c>
      <c r="G9" s="29">
        <f t="shared" si="2"/>
        <v>-83</v>
      </c>
      <c r="H9" s="29">
        <f t="shared" si="3"/>
        <v>-79</v>
      </c>
      <c r="I9" s="29">
        <f t="shared" si="4"/>
        <v>-1</v>
      </c>
    </row>
    <row r="10" spans="1:9" x14ac:dyDescent="0.35">
      <c r="A10" s="19">
        <v>87</v>
      </c>
      <c r="B10" s="19">
        <v>90</v>
      </c>
      <c r="C10" s="19">
        <v>1</v>
      </c>
      <c r="D10" s="23">
        <f>ModelParameter!$R$2*Iterasi5!A10+ModelParameter!$R$3*Iterasi5!B10+ModelParameter!$R$4</f>
        <v>-0.4892999999999989</v>
      </c>
      <c r="E10" s="23">
        <f t="shared" si="0"/>
        <v>-0.4892999999999989</v>
      </c>
      <c r="F10" s="20">
        <f t="shared" si="1"/>
        <v>1.489299999999999</v>
      </c>
      <c r="G10" s="29">
        <f t="shared" si="2"/>
        <v>-87</v>
      </c>
      <c r="H10" s="29">
        <f t="shared" si="3"/>
        <v>-90</v>
      </c>
      <c r="I10" s="29">
        <f t="shared" si="4"/>
        <v>-1</v>
      </c>
    </row>
    <row r="11" spans="1:9" x14ac:dyDescent="0.35">
      <c r="A11" s="19">
        <v>80</v>
      </c>
      <c r="B11" s="19">
        <v>85</v>
      </c>
      <c r="C11" s="19">
        <v>1</v>
      </c>
      <c r="D11" s="23">
        <f>ModelParameter!$R$2*Iterasi5!A11+ModelParameter!$R$3*Iterasi5!B11+ModelParameter!$R$4</f>
        <v>-0.4660999999999989</v>
      </c>
      <c r="E11" s="23">
        <f t="shared" si="0"/>
        <v>-0.4660999999999989</v>
      </c>
      <c r="F11" s="20">
        <f t="shared" si="1"/>
        <v>1.4660999999999988</v>
      </c>
      <c r="G11" s="29">
        <f t="shared" si="2"/>
        <v>-80</v>
      </c>
      <c r="H11" s="29">
        <f t="shared" si="3"/>
        <v>-85</v>
      </c>
      <c r="I11" s="29">
        <f t="shared" si="4"/>
        <v>-1</v>
      </c>
    </row>
    <row r="12" spans="1:9" x14ac:dyDescent="0.35">
      <c r="A12" s="19">
        <v>74</v>
      </c>
      <c r="B12" s="19">
        <v>78</v>
      </c>
      <c r="C12" s="19">
        <v>1</v>
      </c>
      <c r="D12" s="23">
        <f>ModelParameter!$R$2*Iterasi5!A12+ModelParameter!$R$3*Iterasi5!B12+ModelParameter!$R$4</f>
        <v>-0.426399999999999</v>
      </c>
      <c r="E12" s="23">
        <f t="shared" si="0"/>
        <v>-0.426399999999999</v>
      </c>
      <c r="F12" s="20">
        <f t="shared" si="1"/>
        <v>1.426399999999999</v>
      </c>
      <c r="G12" s="29">
        <f t="shared" si="2"/>
        <v>-74</v>
      </c>
      <c r="H12" s="29">
        <f t="shared" si="3"/>
        <v>-78</v>
      </c>
      <c r="I12" s="29">
        <f t="shared" si="4"/>
        <v>-1</v>
      </c>
    </row>
    <row r="13" spans="1:9" x14ac:dyDescent="0.35">
      <c r="A13" s="19">
        <v>89</v>
      </c>
      <c r="B13" s="19">
        <v>86</v>
      </c>
      <c r="C13" s="19">
        <v>1</v>
      </c>
      <c r="D13" s="23">
        <f>ModelParameter!$R$2*Iterasi5!A13+ModelParameter!$R$3*Iterasi5!B13+ModelParameter!$R$4</f>
        <v>-0.45629999999999898</v>
      </c>
      <c r="E13" s="23">
        <f t="shared" si="0"/>
        <v>-0.45629999999999898</v>
      </c>
      <c r="F13" s="20">
        <f t="shared" si="1"/>
        <v>1.456299999999999</v>
      </c>
      <c r="G13" s="29">
        <f t="shared" si="2"/>
        <v>-89</v>
      </c>
      <c r="H13" s="29">
        <f t="shared" si="3"/>
        <v>-86</v>
      </c>
      <c r="I13" s="29">
        <f t="shared" si="4"/>
        <v>-1</v>
      </c>
    </row>
    <row r="14" spans="1:9" x14ac:dyDescent="0.35">
      <c r="A14" s="19">
        <v>81</v>
      </c>
      <c r="B14" s="19">
        <v>83</v>
      </c>
      <c r="C14" s="19">
        <v>1</v>
      </c>
      <c r="D14" s="23">
        <f>ModelParameter!$R$2*Iterasi5!A14+ModelParameter!$R$3*Iterasi5!B14+ModelParameter!$R$4</f>
        <v>-0.44959999999999894</v>
      </c>
      <c r="E14" s="23">
        <f t="shared" si="0"/>
        <v>-0.44959999999999894</v>
      </c>
      <c r="F14" s="20">
        <f t="shared" si="1"/>
        <v>1.4495999999999989</v>
      </c>
      <c r="G14" s="29">
        <f t="shared" si="2"/>
        <v>-81</v>
      </c>
      <c r="H14" s="29">
        <f t="shared" si="3"/>
        <v>-83</v>
      </c>
      <c r="I14" s="29">
        <f t="shared" si="4"/>
        <v>-1</v>
      </c>
    </row>
    <row r="15" spans="1:9" x14ac:dyDescent="0.35">
      <c r="A15" s="19">
        <v>77</v>
      </c>
      <c r="B15" s="19">
        <v>76</v>
      </c>
      <c r="C15" s="19">
        <v>1</v>
      </c>
      <c r="D15" s="23">
        <f>ModelParameter!$R$2*Iterasi5!A15+ModelParameter!$R$3*Iterasi5!B15+ModelParameter!$R$4</f>
        <v>-0.40609999999999907</v>
      </c>
      <c r="E15" s="23">
        <f t="shared" si="0"/>
        <v>-0.40609999999999907</v>
      </c>
      <c r="F15" s="20">
        <f t="shared" si="1"/>
        <v>1.406099999999999</v>
      </c>
      <c r="G15" s="29">
        <f t="shared" si="2"/>
        <v>-77</v>
      </c>
      <c r="H15" s="29">
        <f t="shared" si="3"/>
        <v>-76</v>
      </c>
      <c r="I15" s="29">
        <f t="shared" si="4"/>
        <v>-1</v>
      </c>
    </row>
    <row r="16" spans="1:9" x14ac:dyDescent="0.35">
      <c r="A16" s="19">
        <v>84</v>
      </c>
      <c r="B16" s="19">
        <v>88</v>
      </c>
      <c r="C16" s="19">
        <v>1</v>
      </c>
      <c r="D16" s="23">
        <f>ModelParameter!$R$2*Iterasi5!A16+ModelParameter!$R$3*Iterasi5!B16+ModelParameter!$R$4</f>
        <v>-0.48039999999999888</v>
      </c>
      <c r="E16" s="23">
        <f t="shared" si="0"/>
        <v>-0.48039999999999888</v>
      </c>
      <c r="F16" s="20">
        <f t="shared" si="1"/>
        <v>1.4803999999999988</v>
      </c>
      <c r="G16" s="29">
        <f t="shared" si="2"/>
        <v>-84</v>
      </c>
      <c r="H16" s="29">
        <f t="shared" si="3"/>
        <v>-88</v>
      </c>
      <c r="I16" s="29">
        <f t="shared" si="4"/>
        <v>-1</v>
      </c>
    </row>
    <row r="17" spans="1:9" x14ac:dyDescent="0.35">
      <c r="A17" s="19">
        <v>65</v>
      </c>
      <c r="B17" s="19">
        <v>70</v>
      </c>
      <c r="C17" s="19">
        <v>-1</v>
      </c>
      <c r="D17" s="23">
        <f>ModelParameter!$R$2*Iterasi5!A17+ModelParameter!$R$3*Iterasi5!B17+ModelParameter!$R$4</f>
        <v>-0.38509999999999905</v>
      </c>
      <c r="E17" s="23">
        <f t="shared" si="0"/>
        <v>0.38509999999999905</v>
      </c>
      <c r="F17" s="20">
        <f t="shared" si="1"/>
        <v>0.61490000000000089</v>
      </c>
      <c r="G17" s="29">
        <f t="shared" si="2"/>
        <v>65</v>
      </c>
      <c r="H17" s="29">
        <f t="shared" si="3"/>
        <v>70</v>
      </c>
      <c r="I17" s="29">
        <f t="shared" si="4"/>
        <v>1</v>
      </c>
    </row>
    <row r="18" spans="1:9" x14ac:dyDescent="0.35">
      <c r="A18" s="19">
        <v>60</v>
      </c>
      <c r="B18" s="19">
        <v>68</v>
      </c>
      <c r="C18" s="19">
        <v>-1</v>
      </c>
      <c r="D18" s="23">
        <f>ModelParameter!$R$2*Iterasi5!A18+ModelParameter!$R$3*Iterasi5!B18+ModelParameter!$R$4</f>
        <v>-0.37999999999999906</v>
      </c>
      <c r="E18" s="23">
        <f t="shared" si="0"/>
        <v>0.37999999999999906</v>
      </c>
      <c r="F18" s="20">
        <f t="shared" si="1"/>
        <v>0.62000000000000099</v>
      </c>
      <c r="G18" s="29">
        <f t="shared" si="2"/>
        <v>60</v>
      </c>
      <c r="H18" s="29">
        <f t="shared" si="3"/>
        <v>68</v>
      </c>
      <c r="I18" s="29">
        <f t="shared" si="4"/>
        <v>1</v>
      </c>
    </row>
    <row r="19" spans="1:9" x14ac:dyDescent="0.35">
      <c r="A19" s="19">
        <v>55</v>
      </c>
      <c r="B19" s="19">
        <v>62</v>
      </c>
      <c r="C19" s="19">
        <v>-1</v>
      </c>
      <c r="D19" s="23">
        <f>ModelParameter!$R$2*Iterasi5!A19+ModelParameter!$R$3*Iterasi5!B19+ModelParameter!$R$4</f>
        <v>-0.34569999999999917</v>
      </c>
      <c r="E19" s="23">
        <f t="shared" si="0"/>
        <v>0.34569999999999917</v>
      </c>
      <c r="F19" s="20">
        <f t="shared" si="1"/>
        <v>0.65430000000000077</v>
      </c>
      <c r="G19" s="29">
        <f t="shared" si="2"/>
        <v>55</v>
      </c>
      <c r="H19" s="29">
        <f t="shared" si="3"/>
        <v>62</v>
      </c>
      <c r="I19" s="29">
        <f t="shared" si="4"/>
        <v>1</v>
      </c>
    </row>
    <row r="20" spans="1:9" x14ac:dyDescent="0.35">
      <c r="A20" s="19">
        <v>72</v>
      </c>
      <c r="B20" s="19">
        <v>65</v>
      </c>
      <c r="C20" s="19">
        <v>-1</v>
      </c>
      <c r="D20" s="23">
        <f>ModelParameter!$R$2*Iterasi5!A20+ModelParameter!$R$3*Iterasi5!B20+ModelParameter!$R$4</f>
        <v>-0.33529999999999932</v>
      </c>
      <c r="E20" s="23">
        <f t="shared" si="0"/>
        <v>0.33529999999999932</v>
      </c>
      <c r="F20" s="20">
        <f t="shared" si="1"/>
        <v>0.66470000000000073</v>
      </c>
      <c r="G20" s="29">
        <f t="shared" si="2"/>
        <v>72</v>
      </c>
      <c r="H20" s="29">
        <f t="shared" si="3"/>
        <v>65</v>
      </c>
      <c r="I20" s="29">
        <f t="shared" si="4"/>
        <v>1</v>
      </c>
    </row>
    <row r="21" spans="1:9" x14ac:dyDescent="0.35">
      <c r="A21" s="19">
        <v>58</v>
      </c>
      <c r="B21" s="19">
        <v>60</v>
      </c>
      <c r="C21" s="19">
        <v>-1</v>
      </c>
      <c r="D21" s="23">
        <f>ModelParameter!$R$2*Iterasi5!A21+ModelParameter!$R$3*Iterasi5!B21+ModelParameter!$R$4</f>
        <v>-0.32539999999999925</v>
      </c>
      <c r="E21" s="23">
        <f t="shared" si="0"/>
        <v>0.32539999999999925</v>
      </c>
      <c r="F21" s="20">
        <f t="shared" si="1"/>
        <v>0.67460000000000075</v>
      </c>
      <c r="G21" s="29">
        <f t="shared" si="2"/>
        <v>58</v>
      </c>
      <c r="H21" s="29">
        <f t="shared" si="3"/>
        <v>60</v>
      </c>
      <c r="I21" s="29">
        <f t="shared" si="4"/>
        <v>1</v>
      </c>
    </row>
    <row r="22" spans="1:9" x14ac:dyDescent="0.35">
      <c r="A22" s="19">
        <v>62</v>
      </c>
      <c r="B22" s="19">
        <v>66</v>
      </c>
      <c r="C22" s="19">
        <v>-1</v>
      </c>
      <c r="D22" s="23">
        <f>ModelParameter!$R$2*Iterasi5!A22+ModelParameter!$R$3*Iterasi5!B22+ModelParameter!$R$4</f>
        <v>-0.36159999999999914</v>
      </c>
      <c r="E22" s="23">
        <f t="shared" si="0"/>
        <v>0.36159999999999914</v>
      </c>
      <c r="F22" s="20">
        <f t="shared" si="1"/>
        <v>0.63840000000000086</v>
      </c>
      <c r="G22" s="29">
        <f t="shared" si="2"/>
        <v>62</v>
      </c>
      <c r="H22" s="29">
        <f t="shared" si="3"/>
        <v>66</v>
      </c>
      <c r="I22" s="29">
        <f t="shared" si="4"/>
        <v>1</v>
      </c>
    </row>
    <row r="23" spans="1:9" x14ac:dyDescent="0.35">
      <c r="A23" s="19">
        <v>67</v>
      </c>
      <c r="B23" s="19">
        <v>69</v>
      </c>
      <c r="C23" s="19">
        <v>-1</v>
      </c>
      <c r="D23" s="23">
        <f>ModelParameter!$R$2*Iterasi5!A23+ModelParameter!$R$3*Iterasi5!B23+ModelParameter!$R$4</f>
        <v>-0.37399999999999917</v>
      </c>
      <c r="E23" s="23">
        <f t="shared" si="0"/>
        <v>0.37399999999999917</v>
      </c>
      <c r="F23" s="20">
        <f t="shared" si="1"/>
        <v>0.62600000000000078</v>
      </c>
      <c r="G23" s="29">
        <f t="shared" si="2"/>
        <v>67</v>
      </c>
      <c r="H23" s="29">
        <f t="shared" si="3"/>
        <v>69</v>
      </c>
      <c r="I23" s="29">
        <f t="shared" si="4"/>
        <v>1</v>
      </c>
    </row>
    <row r="24" spans="1:9" x14ac:dyDescent="0.35">
      <c r="A24" s="19">
        <v>50</v>
      </c>
      <c r="B24" s="19">
        <v>55</v>
      </c>
      <c r="C24" s="19">
        <v>-1</v>
      </c>
      <c r="D24" s="23">
        <f>ModelParameter!$R$2*Iterasi5!A24+ModelParameter!$R$3*Iterasi5!B24+ModelParameter!$R$4</f>
        <v>-0.30409999999999926</v>
      </c>
      <c r="E24" s="23">
        <f t="shared" si="0"/>
        <v>0.30409999999999926</v>
      </c>
      <c r="F24" s="20">
        <f t="shared" si="1"/>
        <v>0.69590000000000074</v>
      </c>
      <c r="G24" s="29">
        <f t="shared" si="2"/>
        <v>50</v>
      </c>
      <c r="H24" s="29">
        <f t="shared" si="3"/>
        <v>55</v>
      </c>
      <c r="I24" s="29">
        <f t="shared" si="4"/>
        <v>1</v>
      </c>
    </row>
    <row r="25" spans="1:9" x14ac:dyDescent="0.35">
      <c r="A25" s="19">
        <v>45</v>
      </c>
      <c r="B25" s="19">
        <v>52</v>
      </c>
      <c r="C25" s="19">
        <v>-1</v>
      </c>
      <c r="D25" s="23">
        <f>ModelParameter!$R$2*Iterasi5!A25+ModelParameter!$R$3*Iterasi5!B25+ModelParameter!$R$4</f>
        <v>-0.29169999999999924</v>
      </c>
      <c r="E25" s="23">
        <f t="shared" si="0"/>
        <v>0.29169999999999924</v>
      </c>
      <c r="F25" s="20">
        <f t="shared" si="1"/>
        <v>0.70830000000000082</v>
      </c>
      <c r="G25" s="29">
        <f t="shared" si="2"/>
        <v>45</v>
      </c>
      <c r="H25" s="29">
        <f t="shared" si="3"/>
        <v>52</v>
      </c>
      <c r="I25" s="29">
        <f t="shared" si="4"/>
        <v>1</v>
      </c>
    </row>
    <row r="26" spans="1:9" x14ac:dyDescent="0.35">
      <c r="A26" s="19">
        <v>59</v>
      </c>
      <c r="B26" s="19">
        <v>63</v>
      </c>
      <c r="C26" s="19">
        <v>-1</v>
      </c>
      <c r="D26" s="23">
        <f>ModelParameter!$R$2*Iterasi5!A26+ModelParameter!$R$3*Iterasi5!B26+ModelParameter!$R$4</f>
        <v>-0.34539999999999921</v>
      </c>
      <c r="E26" s="23">
        <f t="shared" si="0"/>
        <v>0.34539999999999921</v>
      </c>
      <c r="F26" s="20">
        <f t="shared" si="1"/>
        <v>0.65460000000000074</v>
      </c>
      <c r="G26" s="29">
        <f t="shared" si="2"/>
        <v>59</v>
      </c>
      <c r="H26" s="29">
        <f t="shared" si="3"/>
        <v>63</v>
      </c>
      <c r="I26" s="29">
        <f t="shared" si="4"/>
        <v>1</v>
      </c>
    </row>
    <row r="27" spans="1:9" x14ac:dyDescent="0.35">
      <c r="A27" s="19">
        <v>64</v>
      </c>
      <c r="B27" s="19">
        <v>67</v>
      </c>
      <c r="C27" s="19">
        <v>-1</v>
      </c>
      <c r="D27" s="23">
        <f>ModelParameter!$R$2*Iterasi5!A27+ModelParameter!$R$3*Iterasi5!B27+ModelParameter!$R$4</f>
        <v>-0.36509999999999915</v>
      </c>
      <c r="E27" s="23">
        <f t="shared" si="0"/>
        <v>0.36509999999999915</v>
      </c>
      <c r="F27" s="20">
        <f t="shared" si="1"/>
        <v>0.63490000000000091</v>
      </c>
      <c r="G27" s="29">
        <f t="shared" si="2"/>
        <v>64</v>
      </c>
      <c r="H27" s="29">
        <f t="shared" si="3"/>
        <v>67</v>
      </c>
      <c r="I27" s="29">
        <f t="shared" si="4"/>
        <v>1</v>
      </c>
    </row>
    <row r="28" spans="1:9" x14ac:dyDescent="0.35">
      <c r="A28" s="19">
        <v>68</v>
      </c>
      <c r="B28" s="19">
        <v>64</v>
      </c>
      <c r="C28" s="19">
        <v>-1</v>
      </c>
      <c r="D28" s="23">
        <f>ModelParameter!$R$2*Iterasi5!A28+ModelParameter!$R$3*Iterasi5!B28+ModelParameter!$R$4</f>
        <v>-0.33559999999999929</v>
      </c>
      <c r="E28" s="23">
        <f t="shared" si="0"/>
        <v>0.33559999999999929</v>
      </c>
      <c r="F28" s="20">
        <f t="shared" si="1"/>
        <v>0.66440000000000077</v>
      </c>
      <c r="G28" s="29">
        <f t="shared" si="2"/>
        <v>68</v>
      </c>
      <c r="H28" s="29">
        <f t="shared" si="3"/>
        <v>64</v>
      </c>
      <c r="I28" s="29">
        <f t="shared" si="4"/>
        <v>1</v>
      </c>
    </row>
    <row r="29" spans="1:9" x14ac:dyDescent="0.35">
      <c r="A29" s="19">
        <v>57</v>
      </c>
      <c r="B29" s="19">
        <v>59</v>
      </c>
      <c r="C29" s="19">
        <v>-1</v>
      </c>
      <c r="D29" s="23">
        <f>ModelParameter!$R$2*Iterasi5!A29+ModelParameter!$R$3*Iterasi5!B29+ModelParameter!$R$4</f>
        <v>-0.31999999999999923</v>
      </c>
      <c r="E29" s="23">
        <f t="shared" si="0"/>
        <v>0.31999999999999923</v>
      </c>
      <c r="F29" s="20">
        <f t="shared" si="1"/>
        <v>0.68000000000000083</v>
      </c>
      <c r="G29" s="29">
        <f t="shared" si="2"/>
        <v>57</v>
      </c>
      <c r="H29" s="29">
        <f t="shared" si="3"/>
        <v>59</v>
      </c>
      <c r="I29" s="29">
        <f t="shared" si="4"/>
        <v>1</v>
      </c>
    </row>
    <row r="30" spans="1:9" x14ac:dyDescent="0.35">
      <c r="A30" s="19">
        <v>61</v>
      </c>
      <c r="B30" s="19">
        <v>65</v>
      </c>
      <c r="C30" s="19">
        <v>-1</v>
      </c>
      <c r="D30" s="23">
        <f>ModelParameter!$R$2*Iterasi5!A30+ModelParameter!$R$3*Iterasi5!B30+ModelParameter!$R$4</f>
        <v>-0.35619999999999913</v>
      </c>
      <c r="E30" s="23">
        <f t="shared" si="0"/>
        <v>0.35619999999999913</v>
      </c>
      <c r="F30" s="20">
        <f t="shared" si="1"/>
        <v>0.64380000000000082</v>
      </c>
      <c r="G30" s="29">
        <f t="shared" si="2"/>
        <v>61</v>
      </c>
      <c r="H30" s="29">
        <f t="shared" si="3"/>
        <v>65</v>
      </c>
      <c r="I30" s="29">
        <f t="shared" si="4"/>
        <v>1</v>
      </c>
    </row>
    <row r="31" spans="1:9" x14ac:dyDescent="0.35">
      <c r="A31" s="19">
        <v>53</v>
      </c>
      <c r="B31" s="19">
        <v>58</v>
      </c>
      <c r="C31" s="19">
        <v>-1</v>
      </c>
      <c r="D31" s="23">
        <f>ModelParameter!$R$2*Iterasi5!A31+ModelParameter!$R$3*Iterasi5!B31+ModelParameter!$R$4</f>
        <v>-0.3202999999999992</v>
      </c>
      <c r="E31" s="23">
        <f t="shared" si="0"/>
        <v>0.3202999999999992</v>
      </c>
      <c r="F31" s="20">
        <f t="shared" si="1"/>
        <v>0.67970000000000086</v>
      </c>
      <c r="G31" s="29">
        <f t="shared" si="2"/>
        <v>53</v>
      </c>
      <c r="H31" s="29">
        <f t="shared" si="3"/>
        <v>58</v>
      </c>
      <c r="I31" s="29">
        <f t="shared" si="4"/>
        <v>1</v>
      </c>
    </row>
    <row r="32" spans="1:9" x14ac:dyDescent="0.35">
      <c r="A32" s="19">
        <v>82</v>
      </c>
      <c r="B32" s="19">
        <v>87</v>
      </c>
      <c r="C32" s="19">
        <v>1</v>
      </c>
      <c r="D32" s="23">
        <f>ModelParameter!$R$2*Iterasi5!A32+ModelParameter!$R$3*Iterasi5!B32+ModelParameter!$R$4</f>
        <v>-0.47689999999999888</v>
      </c>
      <c r="E32" s="23">
        <f t="shared" si="0"/>
        <v>-0.47689999999999888</v>
      </c>
      <c r="F32" s="20">
        <f t="shared" si="1"/>
        <v>1.4768999999999988</v>
      </c>
      <c r="G32" s="29">
        <f t="shared" si="2"/>
        <v>-82</v>
      </c>
      <c r="H32" s="29">
        <f t="shared" si="3"/>
        <v>-87</v>
      </c>
      <c r="I32" s="29">
        <f t="shared" si="4"/>
        <v>-1</v>
      </c>
    </row>
    <row r="33" spans="1:9" x14ac:dyDescent="0.35">
      <c r="A33" s="19">
        <v>79</v>
      </c>
      <c r="B33" s="19">
        <v>81</v>
      </c>
      <c r="C33" s="19">
        <v>1</v>
      </c>
      <c r="D33" s="23">
        <f>ModelParameter!$R$2*Iterasi5!A33+ModelParameter!$R$3*Iterasi5!B33+ModelParameter!$R$4</f>
        <v>-0.43879999999999902</v>
      </c>
      <c r="E33" s="23">
        <f t="shared" si="0"/>
        <v>-0.43879999999999902</v>
      </c>
      <c r="F33" s="20">
        <f t="shared" si="1"/>
        <v>1.438799999999999</v>
      </c>
      <c r="G33" s="29">
        <f t="shared" si="2"/>
        <v>-79</v>
      </c>
      <c r="H33" s="29">
        <f t="shared" si="3"/>
        <v>-81</v>
      </c>
      <c r="I33" s="29">
        <f t="shared" si="4"/>
        <v>-1</v>
      </c>
    </row>
    <row r="34" spans="1:9" x14ac:dyDescent="0.35">
      <c r="A34" s="19">
        <v>86</v>
      </c>
      <c r="B34" s="19">
        <v>90</v>
      </c>
      <c r="C34" s="19">
        <v>1</v>
      </c>
      <c r="D34" s="23">
        <f>ModelParameter!$R$2*Iterasi5!A34+ModelParameter!$R$3*Iterasi5!B34+ModelParameter!$R$4</f>
        <v>-0.49119999999999886</v>
      </c>
      <c r="E34" s="23">
        <f t="shared" si="0"/>
        <v>-0.49119999999999886</v>
      </c>
      <c r="F34" s="20">
        <f t="shared" si="1"/>
        <v>1.4911999999999987</v>
      </c>
      <c r="G34" s="29">
        <f t="shared" si="2"/>
        <v>-86</v>
      </c>
      <c r="H34" s="29">
        <f t="shared" si="3"/>
        <v>-90</v>
      </c>
      <c r="I34" s="29">
        <f t="shared" si="4"/>
        <v>-1</v>
      </c>
    </row>
    <row r="35" spans="1:9" x14ac:dyDescent="0.35">
      <c r="A35" s="19">
        <v>73</v>
      </c>
      <c r="B35" s="19">
        <v>77</v>
      </c>
      <c r="C35" s="19">
        <v>1</v>
      </c>
      <c r="D35" s="23">
        <f>ModelParameter!$R$2*Iterasi5!A35+ModelParameter!$R$3*Iterasi5!B35+ModelParameter!$R$4</f>
        <v>-0.42099999999999899</v>
      </c>
      <c r="E35" s="23">
        <f t="shared" si="0"/>
        <v>-0.42099999999999899</v>
      </c>
      <c r="F35" s="20">
        <f t="shared" si="1"/>
        <v>1.4209999999999989</v>
      </c>
      <c r="G35" s="29">
        <f t="shared" si="2"/>
        <v>-73</v>
      </c>
      <c r="H35" s="29">
        <f t="shared" si="3"/>
        <v>-77</v>
      </c>
      <c r="I35" s="29">
        <f t="shared" si="4"/>
        <v>-1</v>
      </c>
    </row>
    <row r="36" spans="1:9" x14ac:dyDescent="0.35">
      <c r="A36" s="19">
        <v>75</v>
      </c>
      <c r="B36" s="19">
        <v>79</v>
      </c>
      <c r="C36" s="19">
        <v>1</v>
      </c>
      <c r="D36" s="23">
        <f>ModelParameter!$R$2*Iterasi5!A36+ModelParameter!$R$3*Iterasi5!B36+ModelParameter!$R$4</f>
        <v>-0.43179999999999902</v>
      </c>
      <c r="E36" s="23">
        <f t="shared" si="0"/>
        <v>-0.43179999999999902</v>
      </c>
      <c r="F36" s="20">
        <f t="shared" si="1"/>
        <v>1.4317999999999991</v>
      </c>
      <c r="G36" s="29">
        <f t="shared" si="2"/>
        <v>-75</v>
      </c>
      <c r="H36" s="29">
        <f t="shared" si="3"/>
        <v>-79</v>
      </c>
      <c r="I36" s="29">
        <f t="shared" si="4"/>
        <v>-1</v>
      </c>
    </row>
    <row r="37" spans="1:9" x14ac:dyDescent="0.35">
      <c r="A37" s="19">
        <v>48</v>
      </c>
      <c r="B37" s="19">
        <v>50</v>
      </c>
      <c r="C37" s="19">
        <v>-1</v>
      </c>
      <c r="D37" s="23">
        <f>ModelParameter!$R$2*Iterasi5!A37+ModelParameter!$R$3*Iterasi5!B37+ModelParameter!$R$4</f>
        <v>-0.27139999999999936</v>
      </c>
      <c r="E37" s="23">
        <f t="shared" si="0"/>
        <v>0.27139999999999936</v>
      </c>
      <c r="F37" s="20">
        <f t="shared" si="1"/>
        <v>0.72860000000000058</v>
      </c>
      <c r="G37" s="29">
        <f t="shared" si="2"/>
        <v>48</v>
      </c>
      <c r="H37" s="29">
        <f t="shared" si="3"/>
        <v>50</v>
      </c>
      <c r="I37" s="29">
        <f t="shared" si="4"/>
        <v>1</v>
      </c>
    </row>
    <row r="38" spans="1:9" x14ac:dyDescent="0.35">
      <c r="A38" s="19">
        <v>52</v>
      </c>
      <c r="B38" s="19">
        <v>54</v>
      </c>
      <c r="C38" s="19">
        <v>-1</v>
      </c>
      <c r="D38" s="23">
        <f>ModelParameter!$R$2*Iterasi5!A38+ModelParameter!$R$3*Iterasi5!B38+ModelParameter!$R$4</f>
        <v>-0.29299999999999932</v>
      </c>
      <c r="E38" s="23">
        <f t="shared" si="0"/>
        <v>0.29299999999999932</v>
      </c>
      <c r="F38" s="20">
        <f t="shared" si="1"/>
        <v>0.70700000000000074</v>
      </c>
      <c r="G38" s="29">
        <f t="shared" si="2"/>
        <v>52</v>
      </c>
      <c r="H38" s="29">
        <f t="shared" si="3"/>
        <v>54</v>
      </c>
      <c r="I38" s="29">
        <f t="shared" si="4"/>
        <v>1</v>
      </c>
    </row>
    <row r="39" spans="1:9" x14ac:dyDescent="0.35">
      <c r="A39" s="19">
        <v>56</v>
      </c>
      <c r="B39" s="19">
        <v>57</v>
      </c>
      <c r="C39" s="19">
        <v>-1</v>
      </c>
      <c r="D39" s="23">
        <f>ModelParameter!$R$2*Iterasi5!A39+ModelParameter!$R$3*Iterasi5!B39+ModelParameter!$R$4</f>
        <v>-0.3072999999999993</v>
      </c>
      <c r="E39" s="23">
        <f t="shared" si="0"/>
        <v>0.3072999999999993</v>
      </c>
      <c r="F39" s="20">
        <f t="shared" si="1"/>
        <v>0.69270000000000076</v>
      </c>
      <c r="G39" s="29">
        <f t="shared" si="2"/>
        <v>56</v>
      </c>
      <c r="H39" s="29">
        <f t="shared" si="3"/>
        <v>57</v>
      </c>
      <c r="I39" s="29">
        <f t="shared" si="4"/>
        <v>1</v>
      </c>
    </row>
    <row r="40" spans="1:9" x14ac:dyDescent="0.35">
      <c r="A40" s="19">
        <v>63</v>
      </c>
      <c r="B40" s="19">
        <v>60</v>
      </c>
      <c r="C40" s="19">
        <v>-1</v>
      </c>
      <c r="D40" s="23">
        <f>ModelParameter!$R$2*Iterasi5!A40+ModelParameter!$R$3*Iterasi5!B40+ModelParameter!$R$4</f>
        <v>-0.31589999999999935</v>
      </c>
      <c r="E40" s="23">
        <f t="shared" si="0"/>
        <v>0.31589999999999935</v>
      </c>
      <c r="F40" s="20">
        <f t="shared" si="1"/>
        <v>0.6841000000000006</v>
      </c>
      <c r="G40" s="29">
        <f t="shared" si="2"/>
        <v>63</v>
      </c>
      <c r="H40" s="29">
        <f t="shared" si="3"/>
        <v>60</v>
      </c>
      <c r="I40" s="29">
        <f t="shared" si="4"/>
        <v>1</v>
      </c>
    </row>
    <row r="41" spans="1:9" x14ac:dyDescent="0.35">
      <c r="A41" s="19">
        <v>66</v>
      </c>
      <c r="B41" s="19">
        <v>68</v>
      </c>
      <c r="C41" s="19">
        <v>1</v>
      </c>
      <c r="D41" s="23">
        <f>ModelParameter!$R$2*Iterasi5!A41+ModelParameter!$R$3*Iterasi5!B41+ModelParameter!$R$4</f>
        <v>-0.36859999999999915</v>
      </c>
      <c r="E41" s="23">
        <f t="shared" si="0"/>
        <v>-0.36859999999999915</v>
      </c>
      <c r="F41" s="20">
        <f t="shared" si="1"/>
        <v>1.3685999999999992</v>
      </c>
      <c r="G41" s="29">
        <f t="shared" si="2"/>
        <v>-66</v>
      </c>
      <c r="H41" s="29">
        <f t="shared" si="3"/>
        <v>-68</v>
      </c>
      <c r="I41" s="29">
        <f t="shared" si="4"/>
        <v>-1</v>
      </c>
    </row>
    <row r="42" spans="1:9" x14ac:dyDescent="0.35">
      <c r="A42" s="19">
        <v>69</v>
      </c>
      <c r="B42" s="19">
        <v>71</v>
      </c>
      <c r="C42" s="19">
        <v>1</v>
      </c>
      <c r="D42" s="23">
        <f>ModelParameter!$R$2*Iterasi5!A42+ModelParameter!$R$3*Iterasi5!B42+ModelParameter!$R$4</f>
        <v>-0.38479999999999909</v>
      </c>
      <c r="E42" s="23">
        <f t="shared" si="0"/>
        <v>-0.38479999999999909</v>
      </c>
      <c r="F42" s="20">
        <f t="shared" si="1"/>
        <v>1.3847999999999991</v>
      </c>
      <c r="G42" s="29">
        <f t="shared" si="2"/>
        <v>-69</v>
      </c>
      <c r="H42" s="29">
        <f t="shared" si="3"/>
        <v>-71</v>
      </c>
      <c r="I42" s="29">
        <f t="shared" si="4"/>
        <v>-1</v>
      </c>
    </row>
    <row r="43" spans="1:9" x14ac:dyDescent="0.35">
      <c r="A43" s="19">
        <v>71</v>
      </c>
      <c r="B43" s="19">
        <v>74</v>
      </c>
      <c r="C43" s="19">
        <v>1</v>
      </c>
      <c r="D43" s="23">
        <f>ModelParameter!$R$2*Iterasi5!A43+ModelParameter!$R$3*Iterasi5!B43+ModelParameter!$R$4</f>
        <v>-0.40289999999999909</v>
      </c>
      <c r="E43" s="23">
        <f t="shared" si="0"/>
        <v>-0.40289999999999909</v>
      </c>
      <c r="F43" s="20">
        <f t="shared" si="1"/>
        <v>1.4028999999999991</v>
      </c>
      <c r="G43" s="29">
        <f t="shared" si="2"/>
        <v>-71</v>
      </c>
      <c r="H43" s="29">
        <f t="shared" si="3"/>
        <v>-74</v>
      </c>
      <c r="I43" s="29">
        <f t="shared" si="4"/>
        <v>-1</v>
      </c>
    </row>
    <row r="44" spans="1:9" x14ac:dyDescent="0.35">
      <c r="A44" s="19">
        <v>54</v>
      </c>
      <c r="B44" s="19">
        <v>56</v>
      </c>
      <c r="C44" s="19">
        <v>-1</v>
      </c>
      <c r="D44" s="23">
        <f>ModelParameter!$R$2*Iterasi5!A44+ModelParameter!$R$3*Iterasi5!B44+ModelParameter!$R$4</f>
        <v>-0.30379999999999929</v>
      </c>
      <c r="E44" s="23">
        <f t="shared" si="0"/>
        <v>0.30379999999999929</v>
      </c>
      <c r="F44" s="20">
        <f t="shared" si="1"/>
        <v>0.69620000000000071</v>
      </c>
      <c r="G44" s="29">
        <f t="shared" si="2"/>
        <v>54</v>
      </c>
      <c r="H44" s="29">
        <f t="shared" si="3"/>
        <v>56</v>
      </c>
      <c r="I44" s="29">
        <f t="shared" si="4"/>
        <v>1</v>
      </c>
    </row>
    <row r="45" spans="1:9" x14ac:dyDescent="0.35">
      <c r="A45" s="19">
        <v>47</v>
      </c>
      <c r="B45" s="19">
        <v>49</v>
      </c>
      <c r="C45" s="19">
        <v>-1</v>
      </c>
      <c r="D45" s="23">
        <f>ModelParameter!$R$2*Iterasi5!A45+ModelParameter!$R$3*Iterasi5!B45+ModelParameter!$R$4</f>
        <v>-0.2659999999999994</v>
      </c>
      <c r="E45" s="23">
        <f t="shared" si="0"/>
        <v>0.2659999999999994</v>
      </c>
      <c r="F45" s="20">
        <f t="shared" si="1"/>
        <v>0.73400000000000065</v>
      </c>
      <c r="G45" s="29">
        <f t="shared" si="2"/>
        <v>47</v>
      </c>
      <c r="H45" s="29">
        <f t="shared" si="3"/>
        <v>49</v>
      </c>
      <c r="I45" s="29">
        <f t="shared" si="4"/>
        <v>1</v>
      </c>
    </row>
    <row r="46" spans="1:9" x14ac:dyDescent="0.35">
      <c r="A46" s="19">
        <v>51</v>
      </c>
      <c r="B46" s="19">
        <v>53</v>
      </c>
      <c r="C46" s="19">
        <v>-1</v>
      </c>
      <c r="D46" s="23">
        <f>ModelParameter!$R$2*Iterasi5!A46+ModelParameter!$R$3*Iterasi5!B46+ModelParameter!$R$4</f>
        <v>-0.28759999999999936</v>
      </c>
      <c r="E46" s="23">
        <f t="shared" si="0"/>
        <v>0.28759999999999936</v>
      </c>
      <c r="F46" s="20">
        <f t="shared" si="1"/>
        <v>0.71240000000000059</v>
      </c>
      <c r="G46" s="29">
        <f t="shared" si="2"/>
        <v>51</v>
      </c>
      <c r="H46" s="29">
        <f t="shared" si="3"/>
        <v>53</v>
      </c>
      <c r="I46" s="29">
        <f t="shared" si="4"/>
        <v>1</v>
      </c>
    </row>
    <row r="47" spans="1:9" x14ac:dyDescent="0.35">
      <c r="A47" s="19">
        <v>80</v>
      </c>
      <c r="B47" s="19">
        <v>78</v>
      </c>
      <c r="C47" s="19">
        <v>1</v>
      </c>
      <c r="D47" s="23">
        <f>ModelParameter!$R$2*Iterasi5!A47+ModelParameter!$R$3*Iterasi5!B47+ModelParameter!$R$4</f>
        <v>-0.41499999999999909</v>
      </c>
      <c r="E47" s="23">
        <f t="shared" si="0"/>
        <v>-0.41499999999999909</v>
      </c>
      <c r="F47" s="20">
        <f t="shared" si="1"/>
        <v>1.4149999999999991</v>
      </c>
      <c r="G47" s="29">
        <f t="shared" si="2"/>
        <v>-80</v>
      </c>
      <c r="H47" s="29">
        <f t="shared" si="3"/>
        <v>-78</v>
      </c>
      <c r="I47" s="29">
        <f t="shared" si="4"/>
        <v>-1</v>
      </c>
    </row>
    <row r="48" spans="1:9" x14ac:dyDescent="0.35">
      <c r="A48" s="19">
        <v>85</v>
      </c>
      <c r="B48" s="19">
        <v>83</v>
      </c>
      <c r="C48" s="19">
        <v>1</v>
      </c>
      <c r="D48" s="23">
        <f>ModelParameter!$R$2*Iterasi5!A48+ModelParameter!$R$3*Iterasi5!B48+ModelParameter!$R$4</f>
        <v>-0.441999999999999</v>
      </c>
      <c r="E48" s="23">
        <f t="shared" si="0"/>
        <v>-0.441999999999999</v>
      </c>
      <c r="F48" s="20">
        <f t="shared" si="1"/>
        <v>1.4419999999999991</v>
      </c>
      <c r="G48" s="29">
        <f t="shared" si="2"/>
        <v>-85</v>
      </c>
      <c r="H48" s="29">
        <f t="shared" si="3"/>
        <v>-83</v>
      </c>
      <c r="I48" s="29">
        <f t="shared" si="4"/>
        <v>-1</v>
      </c>
    </row>
    <row r="49" spans="1:9" x14ac:dyDescent="0.35">
      <c r="A49" s="19">
        <v>58</v>
      </c>
      <c r="B49" s="19">
        <v>61</v>
      </c>
      <c r="C49" s="19">
        <v>-1</v>
      </c>
      <c r="D49" s="23">
        <f>ModelParameter!$R$2*Iterasi5!A49+ModelParameter!$R$3*Iterasi5!B49+ModelParameter!$R$4</f>
        <v>-0.33269999999999922</v>
      </c>
      <c r="E49" s="23">
        <f t="shared" si="0"/>
        <v>0.33269999999999922</v>
      </c>
      <c r="F49" s="20">
        <f t="shared" si="1"/>
        <v>0.66730000000000078</v>
      </c>
      <c r="G49" s="29">
        <f t="shared" si="2"/>
        <v>58</v>
      </c>
      <c r="H49" s="29">
        <f t="shared" si="3"/>
        <v>61</v>
      </c>
      <c r="I49" s="29">
        <f t="shared" si="4"/>
        <v>1</v>
      </c>
    </row>
    <row r="50" spans="1:9" x14ac:dyDescent="0.35">
      <c r="A50" s="19">
        <v>62</v>
      </c>
      <c r="B50" s="19">
        <v>64</v>
      </c>
      <c r="C50" s="19">
        <v>-1</v>
      </c>
      <c r="D50" s="23">
        <f>ModelParameter!$R$2*Iterasi5!A50+ModelParameter!$R$3*Iterasi5!B50+ModelParameter!$R$4</f>
        <v>-0.3469999999999992</v>
      </c>
      <c r="E50" s="23">
        <f t="shared" si="0"/>
        <v>0.3469999999999992</v>
      </c>
      <c r="F50" s="20">
        <f t="shared" si="1"/>
        <v>0.6530000000000008</v>
      </c>
      <c r="G50" s="29">
        <f t="shared" si="2"/>
        <v>62</v>
      </c>
      <c r="H50" s="29">
        <f t="shared" si="3"/>
        <v>64</v>
      </c>
      <c r="I50" s="29">
        <f t="shared" si="4"/>
        <v>1</v>
      </c>
    </row>
    <row r="51" spans="1:9" x14ac:dyDescent="0.35">
      <c r="A51" s="19">
        <v>90</v>
      </c>
      <c r="B51" s="19">
        <v>92</v>
      </c>
      <c r="C51" s="19">
        <v>1</v>
      </c>
      <c r="D51" s="23">
        <f>ModelParameter!$R$2*Iterasi5!A51+ModelParameter!$R$3*Iterasi5!B51+ModelParameter!$R$4</f>
        <v>-0.49819999999999881</v>
      </c>
      <c r="E51" s="23">
        <f t="shared" si="0"/>
        <v>-0.49819999999999881</v>
      </c>
      <c r="F51" s="20">
        <f t="shared" si="1"/>
        <v>1.4981999999999989</v>
      </c>
      <c r="G51" s="29">
        <f t="shared" si="2"/>
        <v>-90</v>
      </c>
      <c r="H51" s="29">
        <f t="shared" si="3"/>
        <v>-92</v>
      </c>
      <c r="I51" s="29">
        <f t="shared" si="4"/>
        <v>-1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ModelParameter</vt:lpstr>
      <vt:lpstr>UpdateBobot</vt:lpstr>
      <vt:lpstr>GrafikLoss</vt:lpstr>
      <vt:lpstr>Iterasi1</vt:lpstr>
      <vt:lpstr>Iterasi2</vt:lpstr>
      <vt:lpstr>Iterasi3</vt:lpstr>
      <vt:lpstr>Iterasi4</vt:lpstr>
      <vt:lpstr>Iterasi5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Adiningsi</dc:creator>
  <cp:lastModifiedBy>Endang Adiningsi</cp:lastModifiedBy>
  <dcterms:created xsi:type="dcterms:W3CDTF">2026-01-20T13:07:10Z</dcterms:created>
  <dcterms:modified xsi:type="dcterms:W3CDTF">2026-02-02T09:01:03Z</dcterms:modified>
</cp:coreProperties>
</file>